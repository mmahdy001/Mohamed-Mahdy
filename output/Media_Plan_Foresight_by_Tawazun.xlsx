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Media Plan" sheetId="2" state="visible" r:id="rId4"/>
    <sheet name="Notes &amp; Glossary" sheetId="3" state="visible" r:id="rId5"/>
  </sheets>
  <definedNames>
    <definedName function="false" hidden="false" localSheetId="0" name="_xlnm.Print_Area" vbProcedure="false">Dashboard!$A$1:$N$44</definedName>
    <definedName function="false" hidden="false" localSheetId="1" name="_xlnm.Print_Area" vbProcedure="false">'Media Plan'!$A$1:$P$25</definedName>
    <definedName function="false" hidden="false" localSheetId="2" name="_xlnm.Print_Area" vbProcedure="false">'Notes &amp; Glossary'!$A$1:$D$20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<sst xmlns="http://schemas.openxmlformats.org/spreadsheetml/2006/main" count="92" uniqueCount="65">
  <si>
    <t xml:space="preserve">CAMPAIGN OVERVIEW  •  PREPARED FOR FORESIGHT BY TAWAZUN</t>
  </si>
  <si>
    <t xml:space="preserve">Paid Social Media Plan</t>
  </si>
  <si>
    <t xml:space="preserve">Foresight by Tawazun   •   Market: UAE   •   Duration: 30 Days   •   Platforms: Instagram &amp; Twitter</t>
  </si>
  <si>
    <t xml:space="preserve">KEY FIGURES</t>
  </si>
  <si>
    <t xml:space="preserve">TOTAL BUDGET</t>
  </si>
  <si>
    <t xml:space="preserve">EXPECTED PROFILE VISITS</t>
  </si>
  <si>
    <t xml:space="preserve">EXPECTED ENGAGEMENT</t>
  </si>
  <si>
    <t xml:space="preserve">Instagram + Twitter</t>
  </si>
  <si>
    <t xml:space="preserve">EXPECTED LEAD FORMS</t>
  </si>
  <si>
    <t xml:space="preserve">CAMPAIGN DURATION</t>
  </si>
  <si>
    <t xml:space="preserve">MARKET  •  PLATFORMS</t>
  </si>
  <si>
    <t xml:space="preserve">30 Days</t>
  </si>
  <si>
    <t xml:space="preserve">UAE  •  IG &amp; Twitter</t>
  </si>
  <si>
    <t xml:space="preserve">Always-on flight</t>
  </si>
  <si>
    <t xml:space="preserve">Budget split 50% / 50%</t>
  </si>
  <si>
    <t xml:space="preserve">PLATFORM SNAPSHOT</t>
  </si>
  <si>
    <t xml:space="preserve">Platform</t>
  </si>
  <si>
    <t xml:space="preserve">Budget Share</t>
  </si>
  <si>
    <t xml:space="preserve">Budget</t>
  </si>
  <si>
    <t xml:space="preserve">Daily Budget</t>
  </si>
  <si>
    <t xml:space="preserve">Profile Visits</t>
  </si>
  <si>
    <t xml:space="preserve">Engagement</t>
  </si>
  <si>
    <t xml:space="preserve">Lead Forms</t>
  </si>
  <si>
    <t xml:space="preserve">Instagram</t>
  </si>
  <si>
    <t xml:space="preserve">Twitter</t>
  </si>
  <si>
    <t xml:space="preserve">Total</t>
  </si>
  <si>
    <t xml:space="preserve">BUDGET ALLOCATION</t>
  </si>
  <si>
    <t xml:space="preserve">All amounts in USD. Figures are linked to the "Media Plan" sheet. Target results are estimates based on platform benchmarks and are not guaranteed.</t>
  </si>
  <si>
    <t xml:space="preserve">PAID SOCIAL  •  MEDIA PLAN</t>
  </si>
  <si>
    <t xml:space="preserve">Detailed Media Plan</t>
  </si>
  <si>
    <t xml:space="preserve">CAMPAIGN BREAKDOWN BY PLATFORM &amp; OBJECTIVE</t>
  </si>
  <si>
    <t xml:space="preserve">CAMPAIGN</t>
  </si>
  <si>
    <t xml:space="preserve">TOTAL</t>
  </si>
  <si>
    <t xml:space="preserve">INSTAGRAM</t>
  </si>
  <si>
    <t xml:space="preserve">TWITTER</t>
  </si>
  <si>
    <t xml:space="preserve">30-Day Campaign</t>
  </si>
  <si>
    <t xml:space="preserve">Location</t>
  </si>
  <si>
    <t xml:space="preserve">Objective</t>
  </si>
  <si>
    <t xml:space="preserve">Target
Results</t>
  </si>
  <si>
    <t xml:space="preserve">CPR</t>
  </si>
  <si>
    <t xml:space="preserve">Daily
Budget</t>
  </si>
  <si>
    <t xml:space="preserve">UAE</t>
  </si>
  <si>
    <t xml:space="preserve">Lead Form</t>
  </si>
  <si>
    <t xml:space="preserve">EXPECTED RESULTS SUMMARY</t>
  </si>
  <si>
    <t xml:space="preserve">KPI</t>
  </si>
  <si>
    <t xml:space="preserve">Value</t>
  </si>
  <si>
    <t xml:space="preserve">Notes</t>
  </si>
  <si>
    <t xml:space="preserve">Total Budget</t>
  </si>
  <si>
    <t xml:space="preserve">Total paid media investment across Instagram and Twitter for the 30-day flight.</t>
  </si>
  <si>
    <t xml:space="preserve">Total Expected Profile Visits</t>
  </si>
  <si>
    <t xml:space="preserve">These are the number of the total visits for the IG and twitter as there is no guaranteed campaign that gives direct followers </t>
  </si>
  <si>
    <t xml:space="preserve">Total Expected Engagement</t>
  </si>
  <si>
    <t xml:space="preserve">These are the expected engagement through whole meta and twitter as for meta the manual placement will be removed so the placement will be over Facebook page and IG page, we recommend doing facebook page</t>
  </si>
  <si>
    <t xml:space="preserve">Total Expected Lead Forms</t>
  </si>
  <si>
    <t xml:space="preserve">We will create a lead form campaign to get information for the people to send them the magazine directly after they submitted our lead form campaign</t>
  </si>
  <si>
    <t xml:space="preserve">All amounts in USD.  CPR = Cost Per Result.  Target results are estimates based on platform benchmarks and are not guaranteed.</t>
  </si>
  <si>
    <t xml:space="preserve">CAMPAIGN NOTES</t>
  </si>
  <si>
    <t xml:space="preserve">Notes &amp; Glossary</t>
  </si>
  <si>
    <t xml:space="preserve">GLOSSARY</t>
  </si>
  <si>
    <t xml:space="preserve">Target Results</t>
  </si>
  <si>
    <t xml:space="preserve">Estimated number of results for each objective (Budget ÷ CPR).</t>
  </si>
  <si>
    <t xml:space="preserve">Cost Per Result: the estimated cost for each profile visit, engagement or lead.</t>
  </si>
  <si>
    <t xml:space="preserve">Total spend allocated to the objective over the 30-day campaign.</t>
  </si>
  <si>
    <t xml:space="preserve">Budget ÷ 30 days.</t>
  </si>
  <si>
    <t xml:space="preserve">Percentage of each objective budget allocated to the platform.</t>
  </si>
</sst>
</file>

<file path=xl/styles.xml><?xml version="1.0" encoding="utf-8"?>
<styleSheet xmlns="http://schemas.openxmlformats.org/spreadsheetml/2006/main">
  <numFmts count="7">
    <numFmt numFmtId="164" formatCode="General"/>
    <numFmt numFmtId="165" formatCode="[$$]#,##0"/>
    <numFmt numFmtId="166" formatCode="#,##0"/>
    <numFmt numFmtId="167" formatCode="0%"/>
    <numFmt numFmtId="168" formatCode="[$$]#,##0.00"/>
    <numFmt numFmtId="169" formatCode="\$#,##0"/>
    <numFmt numFmtId="170" formatCode="&quot;Budget Share  &quot;0%"/>
  </numFmts>
  <fonts count="26">
    <font>
      <sz val="11"/>
      <color theme="1"/>
      <name val="Calibri"/>
      <family val="2"/>
      <charset val="1"/>
    </font>
    <font>
      <sz val="10"/>
      <name val="Arial"/>
      <family val="0"/>
    </font>
    <font>
      <sz val="10"/>
      <name val="Arial"/>
      <family val="0"/>
    </font>
    <font>
      <sz val="10"/>
      <name val="Arial"/>
      <family val="0"/>
    </font>
    <font>
      <b val="true"/>
      <sz val="8"/>
      <color rgb="FFC9A227"/>
      <name val="Arial"/>
      <family val="0"/>
      <charset val="1"/>
    </font>
    <font>
      <b val="true"/>
      <sz val="22"/>
      <color rgb="FFFFFFFF"/>
      <name val="Arial"/>
      <family val="0"/>
      <charset val="1"/>
    </font>
    <font>
      <sz val="9"/>
      <color rgb="FFB8C2D6"/>
      <name val="Arial"/>
      <family val="0"/>
      <charset val="1"/>
    </font>
    <font>
      <b val="true"/>
      <sz val="10"/>
      <color rgb="FF0B1F3A"/>
      <name val="Arial"/>
      <family val="0"/>
      <charset val="1"/>
    </font>
    <font>
      <b val="true"/>
      <sz val="8"/>
      <color rgb="FF6B7790"/>
      <name val="Arial"/>
      <family val="0"/>
      <charset val="1"/>
    </font>
    <font>
      <b val="true"/>
      <sz val="24"/>
      <color rgb="FF0B1F3A"/>
      <name val="Arial"/>
      <family val="0"/>
      <charset val="1"/>
    </font>
    <font>
      <sz val="8"/>
      <color rgb="FF6B7790"/>
      <name val="Arial"/>
      <family val="0"/>
      <charset val="1"/>
    </font>
    <font>
      <b val="true"/>
      <sz val="18"/>
      <color rgb="FF0B1F3A"/>
      <name val="Arial"/>
      <family val="0"/>
      <charset val="1"/>
    </font>
    <font>
      <b val="true"/>
      <sz val="9"/>
      <color rgb="FFFFFFFF"/>
      <name val="Arial"/>
      <family val="0"/>
      <charset val="1"/>
    </font>
    <font>
      <b val="true"/>
      <sz val="10"/>
      <color rgb="FF7B2FA8"/>
      <name val="Arial"/>
      <family val="0"/>
      <charset val="1"/>
    </font>
    <font>
      <sz val="10"/>
      <color rgb="FF1E2633"/>
      <name val="Arial"/>
      <family val="0"/>
      <charset val="1"/>
    </font>
    <font>
      <b val="true"/>
      <sz val="10"/>
      <color rgb="FF14171A"/>
      <name val="Arial"/>
      <family val="0"/>
      <charset val="1"/>
    </font>
    <font>
      <i val="true"/>
      <sz val="8"/>
      <color rgb="FF6B7790"/>
      <name val="Arial"/>
      <family val="0"/>
      <charset val="1"/>
    </font>
    <font>
      <b val="true"/>
      <sz val="11"/>
      <color rgb="FF0B1F3A"/>
      <name val="Arial"/>
      <family val="2"/>
    </font>
    <font>
      <b val="true"/>
      <sz val="10"/>
      <color rgb="FFFFFFFF"/>
      <name val="Arial"/>
      <family val="2"/>
    </font>
    <font>
      <sz val="8"/>
      <color rgb="FF6B7790"/>
      <name val="Arial"/>
      <family val="2"/>
    </font>
    <font>
      <b val="true"/>
      <sz val="10"/>
      <color rgb="FFFFFFFF"/>
      <name val="Arial"/>
      <family val="0"/>
      <charset val="1"/>
    </font>
    <font>
      <b val="true"/>
      <sz val="11"/>
      <color rgb="FFFFFFFF"/>
      <name val="Arial"/>
      <family val="0"/>
      <charset val="1"/>
    </font>
    <font>
      <b val="true"/>
      <sz val="12"/>
      <color rgb="FF0B1F3A"/>
      <name val="Arial"/>
      <family val="0"/>
      <charset val="1"/>
    </font>
    <font>
      <b val="true"/>
      <sz val="13"/>
      <color rgb="FF0B1F3A"/>
      <name val="Arial"/>
      <family val="0"/>
      <charset val="1"/>
    </font>
    <font>
      <sz val="9"/>
      <color rgb="FF3A4152"/>
      <name val="Arial"/>
      <family val="0"/>
      <charset val="1"/>
    </font>
    <font>
      <sz val="10"/>
      <color rgb="FF3A4152"/>
      <name val="Arial"/>
      <family val="0"/>
      <charset val="1"/>
    </font>
  </fonts>
  <fills count="12">
    <fill>
      <patternFill patternType="none"/>
    </fill>
    <fill>
      <patternFill patternType="gray125"/>
    </fill>
    <fill>
      <patternFill patternType="solid">
        <fgColor rgb="FF0B1F3A"/>
        <bgColor rgb="FF1E2633"/>
      </patternFill>
    </fill>
    <fill>
      <patternFill patternType="solid">
        <fgColor rgb="FFC9A227"/>
        <bgColor rgb="FF99CC00"/>
      </patternFill>
    </fill>
    <fill>
      <patternFill patternType="solid">
        <fgColor rgb="FF7B2FA8"/>
        <bgColor rgb="FF9B59C2"/>
      </patternFill>
    </fill>
    <fill>
      <patternFill patternType="solid">
        <fgColor rgb="FFFFFFFF"/>
        <bgColor rgb="FFF9F9F9"/>
      </patternFill>
    </fill>
    <fill>
      <patternFill patternType="solid">
        <fgColor rgb="FF14171A"/>
        <bgColor rgb="FF0B1F3A"/>
      </patternFill>
    </fill>
    <fill>
      <patternFill patternType="solid">
        <fgColor rgb="FFF2F5FA"/>
        <bgColor rgb="FFF9F9F9"/>
      </patternFill>
    </fill>
    <fill>
      <patternFill patternType="solid">
        <fgColor rgb="FFE3E9F3"/>
        <bgColor rgb="FFDCE2EC"/>
      </patternFill>
    </fill>
    <fill>
      <patternFill patternType="solid">
        <fgColor rgb="FF16325C"/>
        <bgColor rgb="FF1E2633"/>
      </patternFill>
    </fill>
    <fill>
      <patternFill patternType="solid">
        <fgColor rgb="FF9B59C2"/>
        <bgColor rgb="FF7B2FA8"/>
      </patternFill>
    </fill>
    <fill>
      <patternFill patternType="solid">
        <fgColor rgb="FF3B4248"/>
        <bgColor rgb="FF3A4152"/>
      </patternFill>
    </fill>
  </fills>
  <borders count="6">
    <border diagonalUp="false" diagonalDown="false">
      <left/>
      <right/>
      <top/>
      <bottom/>
      <diagonal/>
    </border>
    <border diagonalUp="false" diagonalDown="false">
      <left/>
      <right/>
      <top/>
      <bottom style="medium">
        <color rgb="FFC9A227"/>
      </bottom>
      <diagonal/>
    </border>
    <border diagonalUp="false" diagonalDown="false">
      <left style="thin">
        <color rgb="FFDCE2EC"/>
      </left>
      <right style="thin">
        <color rgb="FFDCE2EC"/>
      </right>
      <top/>
      <bottom/>
      <diagonal/>
    </border>
    <border diagonalUp="false" diagonalDown="false">
      <left style="thin">
        <color rgb="FFDCE2EC"/>
      </left>
      <right style="thin">
        <color rgb="FFDCE2EC"/>
      </right>
      <top/>
      <bottom style="thin">
        <color rgb="FFDCE2EC"/>
      </bottom>
      <diagonal/>
    </border>
    <border diagonalUp="false" diagonalDown="false">
      <left style="thin">
        <color rgb="FFDCE2EC"/>
      </left>
      <right style="thin">
        <color rgb="FFDCE2EC"/>
      </right>
      <top style="thin">
        <color rgb="FFDCE2EC"/>
      </top>
      <bottom style="thin">
        <color rgb="FFDCE2EC"/>
      </bottom>
      <diagonal/>
    </border>
    <border diagonalUp="false" diagonalDown="false">
      <left style="thin">
        <color rgb="FFDCE2EC"/>
      </left>
      <right style="thin">
        <color rgb="FFDCE2EC"/>
      </right>
      <top style="medium">
        <color rgb="FF0B1F3A"/>
      </top>
      <bottom style="medium">
        <color rgb="FF0B1F3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bottom" textRotation="0" wrapText="true" indent="1" shrinkToFit="false"/>
      <protection locked="true" hidden="false"/>
    </xf>
    <xf numFmtId="164" fontId="5" fillId="2" borderId="0" xfId="0" applyFont="true" applyBorder="true" applyAlignment="true" applyProtection="false">
      <alignment horizontal="left" vertical="center" textRotation="0" wrapText="true" indent="1" shrinkToFit="false"/>
      <protection locked="true" hidden="false"/>
    </xf>
    <xf numFmtId="164" fontId="6" fillId="2" borderId="0" xfId="0" applyFont="true" applyBorder="true" applyAlignment="true" applyProtection="false">
      <alignment horizontal="left" vertical="top" textRotation="0" wrapText="true" indent="1" shrinkToFit="false"/>
      <protection locked="true" hidden="false"/>
    </xf>
    <xf numFmtId="164" fontId="0" fillId="3" borderId="0"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64" fontId="0" fillId="3" borderId="2" xfId="0" applyFont="false" applyBorder="true" applyAlignment="false" applyProtection="false">
      <alignment horizontal="general" vertical="bottom" textRotation="0" wrapText="fals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4" fontId="8" fillId="5" borderId="2" xfId="0" applyFont="true" applyBorder="true" applyAlignment="true" applyProtection="false">
      <alignment horizontal="left" vertical="bottom" textRotation="0" wrapText="true" indent="1" shrinkToFit="false"/>
      <protection locked="true" hidden="false"/>
    </xf>
    <xf numFmtId="165" fontId="9" fillId="5" borderId="2" xfId="0" applyFont="true" applyBorder="true" applyAlignment="true" applyProtection="false">
      <alignment horizontal="left" vertical="center" textRotation="0" wrapText="true" indent="1" shrinkToFit="false"/>
      <protection locked="true" hidden="false"/>
    </xf>
    <xf numFmtId="166" fontId="9" fillId="5" borderId="2" xfId="0" applyFont="true" applyBorder="true" applyAlignment="true" applyProtection="false">
      <alignment horizontal="left" vertical="center" textRotation="0" wrapText="true" indent="1" shrinkToFit="false"/>
      <protection locked="true" hidden="false"/>
    </xf>
    <xf numFmtId="164" fontId="10" fillId="5" borderId="3" xfId="0" applyFont="true" applyBorder="true" applyAlignment="true" applyProtection="false">
      <alignment horizontal="left" vertical="top" textRotation="0" wrapText="true" indent="1" shrinkToFit="false"/>
      <protection locked="true" hidden="false"/>
    </xf>
    <xf numFmtId="164" fontId="0" fillId="6" borderId="2" xfId="0" applyFont="false" applyBorder="true" applyAlignment="false" applyProtection="false">
      <alignment horizontal="general" vertical="bottom" textRotation="0" wrapText="false" indent="0" shrinkToFit="false"/>
      <protection locked="true" hidden="false"/>
    </xf>
    <xf numFmtId="164" fontId="11" fillId="5" borderId="2" xfId="0" applyFont="true" applyBorder="true" applyAlignment="true" applyProtection="false">
      <alignment horizontal="left" vertical="center" textRotation="0" wrapText="true" indent="1" shrinkToFit="false"/>
      <protection locked="true" hidden="false"/>
    </xf>
    <xf numFmtId="164" fontId="12" fillId="2" borderId="4" xfId="0" applyFont="true" applyBorder="true" applyAlignment="true" applyProtection="false">
      <alignment horizontal="center" vertical="center" textRotation="0" wrapText="true" indent="0" shrinkToFit="false"/>
      <protection locked="true" hidden="false"/>
    </xf>
    <xf numFmtId="164" fontId="13" fillId="5" borderId="4" xfId="0" applyFont="true" applyBorder="true" applyAlignment="true" applyProtection="false">
      <alignment horizontal="left" vertical="center" textRotation="0" wrapText="true" indent="1" shrinkToFit="false"/>
      <protection locked="true" hidden="false"/>
    </xf>
    <xf numFmtId="167" fontId="14" fillId="5" borderId="4" xfId="0" applyFont="true" applyBorder="true" applyAlignment="true" applyProtection="false">
      <alignment horizontal="center" vertical="center" textRotation="0" wrapText="true" indent="0" shrinkToFit="false"/>
      <protection locked="true" hidden="false"/>
    </xf>
    <xf numFmtId="168" fontId="14" fillId="5" borderId="4" xfId="0" applyFont="true" applyBorder="true" applyAlignment="true" applyProtection="false">
      <alignment horizontal="center" vertical="center" textRotation="0" wrapText="true" indent="0" shrinkToFit="false"/>
      <protection locked="true" hidden="false"/>
    </xf>
    <xf numFmtId="166" fontId="14" fillId="5" borderId="4" xfId="0" applyFont="true" applyBorder="true" applyAlignment="true" applyProtection="false">
      <alignment horizontal="center" vertical="center" textRotation="0" wrapText="true" indent="0" shrinkToFit="false"/>
      <protection locked="true" hidden="false"/>
    </xf>
    <xf numFmtId="164" fontId="15" fillId="7" borderId="4" xfId="0" applyFont="true" applyBorder="true" applyAlignment="true" applyProtection="false">
      <alignment horizontal="left" vertical="center" textRotation="0" wrapText="true" indent="1" shrinkToFit="false"/>
      <protection locked="true" hidden="false"/>
    </xf>
    <xf numFmtId="167" fontId="14" fillId="7" borderId="4" xfId="0" applyFont="true" applyBorder="true" applyAlignment="true" applyProtection="false">
      <alignment horizontal="center" vertical="center" textRotation="0" wrapText="true" indent="0" shrinkToFit="false"/>
      <protection locked="true" hidden="false"/>
    </xf>
    <xf numFmtId="168" fontId="14" fillId="7" borderId="4" xfId="0" applyFont="true" applyBorder="true" applyAlignment="true" applyProtection="false">
      <alignment horizontal="center" vertical="center" textRotation="0" wrapText="true" indent="0" shrinkToFit="false"/>
      <protection locked="true" hidden="false"/>
    </xf>
    <xf numFmtId="166" fontId="14" fillId="7" borderId="4" xfId="0" applyFont="true" applyBorder="true" applyAlignment="true" applyProtection="false">
      <alignment horizontal="center" vertical="center" textRotation="0" wrapText="true" indent="0" shrinkToFit="false"/>
      <protection locked="true" hidden="false"/>
    </xf>
    <xf numFmtId="164" fontId="7" fillId="8" borderId="5" xfId="0" applyFont="true" applyBorder="true" applyAlignment="true" applyProtection="false">
      <alignment horizontal="left" vertical="center" textRotation="0" wrapText="true" indent="1" shrinkToFit="false"/>
      <protection locked="true" hidden="false"/>
    </xf>
    <xf numFmtId="167" fontId="7" fillId="8" borderId="5" xfId="0" applyFont="true" applyBorder="true" applyAlignment="true" applyProtection="false">
      <alignment horizontal="center" vertical="center" textRotation="0" wrapText="true" indent="0" shrinkToFit="false"/>
      <protection locked="true" hidden="false"/>
    </xf>
    <xf numFmtId="168" fontId="7" fillId="8" borderId="5" xfId="0" applyFont="true" applyBorder="true" applyAlignment="true" applyProtection="false">
      <alignment horizontal="center" vertical="center" textRotation="0" wrapText="true" indent="0" shrinkToFit="false"/>
      <protection locked="true" hidden="false"/>
    </xf>
    <xf numFmtId="166" fontId="7" fillId="8" borderId="5"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true" applyProtection="false">
      <alignment horizontal="left" vertical="center" textRotation="0" wrapText="true" indent="0" shrinkToFit="false"/>
      <protection locked="true" hidden="false"/>
    </xf>
    <xf numFmtId="164" fontId="20" fillId="2" borderId="4" xfId="0" applyFont="true" applyBorder="true" applyAlignment="true" applyProtection="false">
      <alignment horizontal="center" vertical="center" textRotation="0" wrapText="true" indent="0" shrinkToFit="false"/>
      <protection locked="true" hidden="false"/>
    </xf>
    <xf numFmtId="164" fontId="21" fillId="2" borderId="4" xfId="0" applyFont="true" applyBorder="true" applyAlignment="true" applyProtection="false">
      <alignment horizontal="center" vertical="center" textRotation="0" wrapText="true" indent="0" shrinkToFit="false"/>
      <protection locked="true" hidden="false"/>
    </xf>
    <xf numFmtId="164" fontId="21" fillId="4" borderId="4" xfId="0" applyFont="true" applyBorder="true" applyAlignment="true" applyProtection="false">
      <alignment horizontal="center" vertical="center" textRotation="0" wrapText="true" indent="0" shrinkToFit="false"/>
      <protection locked="true" hidden="false"/>
    </xf>
    <xf numFmtId="164" fontId="21" fillId="6" borderId="4" xfId="0" applyFont="true" applyBorder="true" applyAlignment="true" applyProtection="false">
      <alignment horizontal="center" vertical="center" textRotation="0" wrapText="true" indent="0" shrinkToFit="false"/>
      <protection locked="true" hidden="false"/>
    </xf>
    <xf numFmtId="164" fontId="12" fillId="9" borderId="4" xfId="0" applyFont="true" applyBorder="true" applyAlignment="true" applyProtection="false">
      <alignment horizontal="center" vertical="center" textRotation="0" wrapText="true" indent="0" shrinkToFit="false"/>
      <protection locked="true" hidden="false"/>
    </xf>
    <xf numFmtId="170" fontId="12" fillId="10" borderId="4" xfId="0" applyFont="true" applyBorder="true" applyAlignment="true" applyProtection="false">
      <alignment horizontal="center" vertical="center" textRotation="0" wrapText="true" indent="0" shrinkToFit="false"/>
      <protection locked="true" hidden="false"/>
    </xf>
    <xf numFmtId="170" fontId="12" fillId="11" borderId="4" xfId="0" applyFont="true" applyBorder="true" applyAlignment="true" applyProtection="false">
      <alignment horizontal="center" vertical="center" textRotation="0" wrapText="true" indent="0" shrinkToFit="false"/>
      <protection locked="true" hidden="false"/>
    </xf>
    <xf numFmtId="164" fontId="12" fillId="10" borderId="4" xfId="0" applyFont="true" applyBorder="true" applyAlignment="true" applyProtection="false">
      <alignment horizontal="center" vertical="center" textRotation="0" wrapText="true" indent="0" shrinkToFit="false"/>
      <protection locked="true" hidden="false"/>
    </xf>
    <xf numFmtId="164" fontId="12" fillId="11" borderId="4" xfId="0" applyFont="true" applyBorder="true" applyAlignment="true" applyProtection="false">
      <alignment horizontal="center" vertical="center" textRotation="0" wrapText="true" indent="0" shrinkToFit="false"/>
      <protection locked="true" hidden="false"/>
    </xf>
    <xf numFmtId="166" fontId="22" fillId="5" borderId="4" xfId="0" applyFont="true" applyBorder="true" applyAlignment="true" applyProtection="false">
      <alignment horizontal="center" vertical="center" textRotation="0" wrapText="true" indent="0" shrinkToFit="false"/>
      <protection locked="true" hidden="false"/>
    </xf>
    <xf numFmtId="166" fontId="7" fillId="5" borderId="4" xfId="0" applyFont="true" applyBorder="true" applyAlignment="true" applyProtection="false">
      <alignment horizontal="left" vertical="center" textRotation="0" wrapText="true" indent="1" shrinkToFit="false"/>
      <protection locked="true" hidden="false"/>
    </xf>
    <xf numFmtId="166" fontId="7" fillId="7" borderId="4" xfId="0" applyFont="true" applyBorder="true" applyAlignment="true" applyProtection="false">
      <alignment horizontal="left" vertical="center" textRotation="0" wrapText="true" indent="1" shrinkToFit="false"/>
      <protection locked="true" hidden="false"/>
    </xf>
    <xf numFmtId="164" fontId="7" fillId="8" borderId="5" xfId="0" applyFont="true" applyBorder="true" applyAlignment="true" applyProtection="false">
      <alignment horizontal="center" vertical="center" textRotation="0" wrapText="true" indent="0" shrinkToFit="false"/>
      <protection locked="true" hidden="false"/>
    </xf>
    <xf numFmtId="164" fontId="7" fillId="5" borderId="4" xfId="0" applyFont="true" applyBorder="true" applyAlignment="true" applyProtection="false">
      <alignment horizontal="left" vertical="center" textRotation="0" wrapText="true" indent="1" shrinkToFit="false"/>
      <protection locked="true" hidden="false"/>
    </xf>
    <xf numFmtId="168" fontId="23" fillId="5" borderId="4" xfId="0" applyFont="true" applyBorder="true" applyAlignment="true" applyProtection="false">
      <alignment horizontal="center" vertical="center" textRotation="0" wrapText="true" indent="0" shrinkToFit="false"/>
      <protection locked="true" hidden="false"/>
    </xf>
    <xf numFmtId="164" fontId="24" fillId="5" borderId="4" xfId="0" applyFont="true" applyBorder="true" applyAlignment="true" applyProtection="false">
      <alignment horizontal="left" vertical="center" textRotation="0" wrapText="true" indent="1" shrinkToFit="false"/>
      <protection locked="true" hidden="false"/>
    </xf>
    <xf numFmtId="164" fontId="7" fillId="7" borderId="4" xfId="0" applyFont="true" applyBorder="true" applyAlignment="true" applyProtection="false">
      <alignment horizontal="left" vertical="center" textRotation="0" wrapText="true" indent="1" shrinkToFit="false"/>
      <protection locked="true" hidden="false"/>
    </xf>
    <xf numFmtId="166" fontId="23" fillId="7" borderId="4" xfId="0" applyFont="true" applyBorder="true" applyAlignment="true" applyProtection="false">
      <alignment horizontal="center" vertical="center" textRotation="0" wrapText="true" indent="0" shrinkToFit="false"/>
      <protection locked="true" hidden="false"/>
    </xf>
    <xf numFmtId="164" fontId="24" fillId="7" borderId="4" xfId="0" applyFont="true" applyBorder="true" applyAlignment="true" applyProtection="false">
      <alignment horizontal="left" vertical="center" textRotation="0" wrapText="true" indent="1" shrinkToFit="false"/>
      <protection locked="true" hidden="false"/>
    </xf>
    <xf numFmtId="166" fontId="23" fillId="5" borderId="4" xfId="0" applyFont="true" applyBorder="true" applyAlignment="true" applyProtection="false">
      <alignment horizontal="center" vertical="center" textRotation="0" wrapText="true" indent="0" shrinkToFit="false"/>
      <protection locked="true" hidden="false"/>
    </xf>
    <xf numFmtId="164" fontId="25" fillId="5" borderId="4" xfId="0" applyFont="true" applyBorder="true" applyAlignment="true" applyProtection="false">
      <alignment horizontal="left" vertical="center"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14171A"/>
      <rgbColor rgb="FF808000"/>
      <rgbColor rgb="FF800080"/>
      <rgbColor rgb="FF008080"/>
      <rgbColor rgb="FFB8C2D6"/>
      <rgbColor rgb="FF878787"/>
      <rgbColor rgb="FF9999FF"/>
      <rgbColor rgb="FF7B2FA8"/>
      <rgbColor rgb="FFF9F9F9"/>
      <rgbColor rgb="FFE3E9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5FA"/>
      <rgbColor rgb="FFDCE2EC"/>
      <rgbColor rgb="FFFFFF99"/>
      <rgbColor rgb="FF99CCFF"/>
      <rgbColor rgb="FFFF99CC"/>
      <rgbColor rgb="FFCC99FF"/>
      <rgbColor rgb="FFFFCC99"/>
      <rgbColor rgb="FF4F81BD"/>
      <rgbColor rgb="FF33CCCC"/>
      <rgbColor rgb="FF99CC00"/>
      <rgbColor rgb="FFFFCC00"/>
      <rgbColor rgb="FFC9A227"/>
      <rgbColor rgb="FFFF6600"/>
      <rgbColor rgb="FF6B7790"/>
      <rgbColor rgb="FF969696"/>
      <rgbColor rgb="FF16325C"/>
      <rgbColor rgb="FF339966"/>
      <rgbColor rgb="FF0B1F3A"/>
      <rgbColor rgb="FF1E2633"/>
      <rgbColor rgb="FF993300"/>
      <rgbColor rgb="FF9B59C2"/>
      <rgbColor rgb="FF3A4152"/>
      <rgbColor rgb="FF3B424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0b1f3a"/>
                </a:solidFill>
                <a:latin typeface="Arial"/>
              </a:defRPr>
            </a:pPr>
            <a:r>
              <a:rPr b="1" sz="1100" spc="-1" strike="noStrike">
                <a:solidFill>
                  <a:srgbClr val="0b1f3a"/>
                </a:solidFill>
                <a:latin typeface="Arial"/>
              </a:rPr>
              <a:t>Budget by Platform</a:t>
            </a:r>
          </a:p>
        </c:rich>
      </c:tx>
      <c:overlay val="0"/>
      <c:spPr>
        <a:noFill/>
        <a:ln w="0">
          <a:noFill/>
        </a:ln>
      </c:spPr>
    </c:title>
    <c:autoTitleDeleted val="0"/>
    <c:plotArea>
      <c:doughnutChart>
        <c:varyColors val="1"/>
        <c:ser>
          <c:idx val="0"/>
          <c:order val="0"/>
          <c:spPr>
            <a:solidFill>
              <a:srgbClr val="4f81bd"/>
            </a:solidFill>
            <a:ln w="9360">
              <a:solidFill>
                <a:srgbClr val="f9f9f9"/>
              </a:solidFill>
              <a:round/>
            </a:ln>
          </c:spPr>
          <c:explosion val="0"/>
          <c:dPt>
            <c:idx val="0"/>
            <c:spPr>
              <a:solidFill>
                <a:srgbClr val="7b2fa8"/>
              </a:solidFill>
              <a:ln w="9360">
                <a:solidFill>
                  <a:srgbClr val="ffffff"/>
                </a:solidFill>
                <a:round/>
              </a:ln>
            </c:spPr>
          </c:dPt>
          <c:dPt>
            <c:idx val="1"/>
            <c:spPr>
              <a:solidFill>
                <a:srgbClr val="14171a"/>
              </a:solidFill>
              <a:ln w="9360">
                <a:solidFill>
                  <a:srgbClr val="ffffff"/>
                </a:solidFill>
                <a:round/>
              </a:ln>
            </c:spPr>
          </c:dPt>
          <c:dLbls>
            <c:dLbl>
              <c:idx val="0"/>
              <c:txPr>
                <a:bodyPr wrap="square"/>
                <a:lstStyle/>
                <a:p>
                  <a:pPr>
                    <a:defRPr b="1" sz="1000" spc="-1" strike="noStrike">
                      <a:solidFill>
                        <a:srgbClr val="ffffff"/>
                      </a:solidFill>
                      <a:latin typeface="Arial"/>
                    </a:defRPr>
                  </a:pPr>
                </a:p>
              </c:txPr>
              <c:showLegendKey val="0"/>
              <c:showVal val="0"/>
              <c:showCatName val="0"/>
              <c:showSerName val="0"/>
              <c:showPercent val="1"/>
              <c:separator>
</c:separator>
            </c:dLbl>
            <c:dLbl>
              <c:idx val="1"/>
              <c:txPr>
                <a:bodyPr wrap="square"/>
                <a:lstStyle/>
                <a:p>
                  <a:pPr>
                    <a:defRPr b="1" sz="1000" spc="-1" strike="noStrike">
                      <a:solidFill>
                        <a:srgbClr val="ffffff"/>
                      </a:solidFill>
                      <a:latin typeface="Arial"/>
                    </a:defRPr>
                  </a:pPr>
                </a:p>
              </c:txPr>
              <c:showLegendKey val="0"/>
              <c:showVal val="0"/>
              <c:showCatName val="0"/>
              <c:showSerName val="0"/>
              <c:showPercent val="1"/>
              <c:separator>
</c:separator>
            </c:dLbl>
            <c:txPr>
              <a:bodyPr wrap="square"/>
              <a:lstStyle/>
              <a:p>
                <a:pPr>
                  <a:defRPr b="1" sz="1000" spc="-1" strike="noStrike">
                    <a:solidFill>
                      <a:srgbClr val="ffffff"/>
                    </a:solidFill>
                    <a:latin typeface="Arial"/>
                  </a:defRPr>
                </a:pPr>
              </a:p>
            </c:txPr>
            <c:showLegendKey val="0"/>
            <c:showVal val="0"/>
            <c:showCatName val="0"/>
            <c:showSerName val="0"/>
            <c:showPercent val="1"/>
            <c:separator>
</c:separator>
            <c:showLeaderLines val="0"/>
          </c:dLbls>
          <c:cat>
            <c:strRef>
              <c:f>Dashboard!$B$22:$B$23</c:f>
              <c:strCache>
                <c:ptCount val="2"/>
                <c:pt idx="0">
                  <c:v>Instagram</c:v>
                </c:pt>
                <c:pt idx="1">
                  <c:v>Twitter</c:v>
                </c:pt>
              </c:strCache>
            </c:strRef>
          </c:cat>
          <c:val>
            <c:numRef>
              <c:f>Dashboard!$F$22:$F$23</c:f>
              <c:numCache>
                <c:formatCode>[$$]#,##0.00</c:formatCode>
                <c:ptCount val="2"/>
                <c:pt idx="0">
                  <c:v>7500</c:v>
                </c:pt>
                <c:pt idx="1">
                  <c:v>7500</c:v>
                </c:pt>
              </c:numCache>
            </c:numRef>
          </c:val>
        </c:ser>
        <c:firstSliceAng val="0"/>
        <c:holeSize val="50"/>
      </c:doughnutChart>
      <c:spPr>
        <a:noFill/>
        <a:ln w="0">
          <a:noFill/>
        </a:ln>
      </c:spPr>
    </c:plotArea>
    <c:legend>
      <c:legendPos val="b"/>
      <c:overlay val="0"/>
      <c:spPr>
        <a:noFill/>
        <a:ln w="0">
          <a:noFill/>
        </a:ln>
      </c:spPr>
      <c:txPr>
        <a:bodyPr/>
        <a:lstStyle/>
        <a:p>
          <a:pPr>
            <a:defRPr b="0" sz="800" spc="-1" strike="noStrike">
              <a:solidFill>
                <a:srgbClr val="6b7790"/>
              </a:solidFill>
              <a:latin typeface="Arial"/>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0b1f3a"/>
                </a:solidFill>
                <a:latin typeface="Arial"/>
              </a:defRPr>
            </a:pPr>
            <a:r>
              <a:rPr b="1" sz="1100" spc="-1" strike="noStrike">
                <a:solidFill>
                  <a:srgbClr val="0b1f3a"/>
                </a:solidFill>
                <a:latin typeface="Arial"/>
              </a:rPr>
              <a:t>Budget by Objective &amp; Platform (USD)</a:t>
            </a:r>
          </a:p>
        </c:rich>
      </c:tx>
      <c:overlay val="0"/>
      <c:spPr>
        <a:noFill/>
        <a:ln w="0">
          <a:noFill/>
        </a:ln>
      </c:spPr>
    </c:title>
    <c:autoTitleDeleted val="0"/>
    <c:plotArea>
      <c:barChart>
        <c:barDir val="col"/>
        <c:grouping val="stacked"/>
        <c:varyColors val="0"/>
        <c:ser>
          <c:idx val="0"/>
          <c:order val="0"/>
          <c:tx>
            <c:strRef>
              <c:f>"Instagram"</c:f>
              <c:strCache>
                <c:ptCount val="1"/>
                <c:pt idx="0">
                  <c:v>Instagram</c:v>
                </c:pt>
              </c:strCache>
            </c:strRef>
          </c:tx>
          <c:spPr>
            <a:solidFill>
              <a:srgbClr val="7b2fa8"/>
            </a:solidFill>
            <a:ln w="0">
              <a:solidFill>
                <a:srgbClr val="7b2fa8"/>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'Media Plan'!$C$12:$C$14</c:f>
              <c:strCache>
                <c:ptCount val="3"/>
                <c:pt idx="0">
                  <c:v>Profile Visits</c:v>
                </c:pt>
                <c:pt idx="1">
                  <c:v>Engagement</c:v>
                </c:pt>
                <c:pt idx="2">
                  <c:v>Lead Form</c:v>
                </c:pt>
              </c:strCache>
            </c:strRef>
          </c:cat>
          <c:val>
            <c:numRef>
              <c:f>'Media Plan'!$J$12:$J$14</c:f>
              <c:numCache>
                <c:formatCode>[$$]#,##0.00</c:formatCode>
                <c:ptCount val="3"/>
                <c:pt idx="0">
                  <c:v>2500</c:v>
                </c:pt>
                <c:pt idx="1">
                  <c:v>2500</c:v>
                </c:pt>
                <c:pt idx="2">
                  <c:v>2500</c:v>
                </c:pt>
              </c:numCache>
            </c:numRef>
          </c:val>
        </c:ser>
        <c:ser>
          <c:idx val="1"/>
          <c:order val="1"/>
          <c:tx>
            <c:strRef>
              <c:f>"Twitter"</c:f>
              <c:strCache>
                <c:ptCount val="1"/>
                <c:pt idx="0">
                  <c:v>Twitter</c:v>
                </c:pt>
              </c:strCache>
            </c:strRef>
          </c:tx>
          <c:spPr>
            <a:solidFill>
              <a:srgbClr val="14171a"/>
            </a:solidFill>
            <a:ln w="0">
              <a:solidFill>
                <a:srgbClr val="14171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'Media Plan'!$C$12:$C$14</c:f>
              <c:strCache>
                <c:ptCount val="3"/>
                <c:pt idx="0">
                  <c:v>Profile Visits</c:v>
                </c:pt>
                <c:pt idx="1">
                  <c:v>Engagement</c:v>
                </c:pt>
                <c:pt idx="2">
                  <c:v>Lead Form</c:v>
                </c:pt>
              </c:strCache>
            </c:strRef>
          </c:cat>
          <c:val>
            <c:numRef>
              <c:f>'Media Plan'!$N$12:$N$14</c:f>
              <c:numCache>
                <c:formatCode>[$$]#,##0.00</c:formatCode>
                <c:ptCount val="3"/>
                <c:pt idx="0">
                  <c:v>2500</c:v>
                </c:pt>
                <c:pt idx="1">
                  <c:v>2500</c:v>
                </c:pt>
                <c:pt idx="2">
                  <c:v>2500</c:v>
                </c:pt>
              </c:numCache>
            </c:numRef>
          </c:val>
        </c:ser>
        <c:gapWidth val="80"/>
        <c:overlap val="100"/>
        <c:axId val="55842472"/>
        <c:axId val="15279633"/>
      </c:barChart>
      <c:catAx>
        <c:axId val="5584247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800" spc="-1" strike="noStrike">
                <a:solidFill>
                  <a:srgbClr val="6b7790"/>
                </a:solidFill>
                <a:latin typeface="Arial"/>
              </a:defRPr>
            </a:pPr>
          </a:p>
        </c:txPr>
        <c:crossAx val="15279633"/>
        <c:crosses val="autoZero"/>
        <c:auto val="1"/>
        <c:lblAlgn val="ctr"/>
        <c:lblOffset val="100"/>
        <c:noMultiLvlLbl val="0"/>
      </c:catAx>
      <c:valAx>
        <c:axId val="15279633"/>
        <c:scaling>
          <c:orientation val="minMax"/>
        </c:scaling>
        <c:delete val="0"/>
        <c:axPos val="l"/>
        <c:majorGridlines>
          <c:spPr>
            <a:ln w="9360">
              <a:solidFill>
                <a:srgbClr val="dce2ec"/>
              </a:solidFill>
              <a:round/>
            </a:ln>
          </c:spPr>
        </c:majorGridlines>
        <c:numFmt formatCode="\$#,##0" sourceLinked="0"/>
        <c:majorTickMark val="none"/>
        <c:minorTickMark val="none"/>
        <c:tickLblPos val="nextTo"/>
        <c:spPr>
          <a:ln w="9360">
            <a:solidFill>
              <a:srgbClr val="878787"/>
            </a:solidFill>
            <a:round/>
          </a:ln>
        </c:spPr>
        <c:txPr>
          <a:bodyPr/>
          <a:lstStyle/>
          <a:p>
            <a:pPr>
              <a:defRPr b="0" sz="800" spc="-1" strike="noStrike">
                <a:solidFill>
                  <a:srgbClr val="6b7790"/>
                </a:solidFill>
                <a:latin typeface="Arial"/>
              </a:defRPr>
            </a:pPr>
          </a:p>
        </c:txPr>
        <c:crossAx val="55842472"/>
        <c:crosses val="autoZero"/>
        <c:crossBetween val="between"/>
      </c:valAx>
      <c:spPr>
        <a:noFill/>
        <a:ln w="0">
          <a:noFill/>
        </a:ln>
      </c:spPr>
    </c:plotArea>
    <c:legend>
      <c:legendPos val="b"/>
      <c:overlay val="0"/>
      <c:spPr>
        <a:noFill/>
        <a:ln w="0">
          <a:noFill/>
        </a:ln>
      </c:spPr>
      <c:txPr>
        <a:bodyPr/>
        <a:lstStyle/>
        <a:p>
          <a:pPr>
            <a:defRPr b="0" sz="800" spc="-1" strike="noStrike">
              <a:solidFill>
                <a:srgbClr val="6b7790"/>
              </a:solidFill>
              <a:latin typeface="Arial"/>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27</xdr:row>
      <xdr:rowOff>0</xdr:rowOff>
    </xdr:from>
    <xdr:to>
      <xdr:col>3</xdr:col>
      <xdr:colOff>618840</xdr:colOff>
      <xdr:row>41</xdr:row>
      <xdr:rowOff>68400</xdr:rowOff>
    </xdr:to>
    <xdr:graphicFrame>
      <xdr:nvGraphicFramePr>
        <xdr:cNvPr id="0" name="Chart 1"/>
        <xdr:cNvGraphicFramePr/>
      </xdr:nvGraphicFramePr>
      <xdr:xfrm>
        <a:off x="177840" y="6572160"/>
        <a:ext cx="2663640" cy="2735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27</xdr:row>
      <xdr:rowOff>0</xdr:rowOff>
    </xdr:from>
    <xdr:to>
      <xdr:col>12</xdr:col>
      <xdr:colOff>887760</xdr:colOff>
      <xdr:row>41</xdr:row>
      <xdr:rowOff>68400</xdr:rowOff>
    </xdr:to>
    <xdr:graphicFrame>
      <xdr:nvGraphicFramePr>
        <xdr:cNvPr id="1" name="Chart 2"/>
        <xdr:cNvGraphicFramePr/>
      </xdr:nvGraphicFramePr>
      <xdr:xfrm>
        <a:off x="3422520" y="6572160"/>
        <a:ext cx="7199640" cy="2735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M4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4" min="2" style="0" width="11.5"/>
    <col collapsed="false" customWidth="true" hidden="false" outlineLevel="0" max="5" min="5" style="0" width="2"/>
    <col collapsed="false" customWidth="true" hidden="false" outlineLevel="0" max="8" min="6" style="0" width="11.5"/>
    <col collapsed="false" customWidth="true" hidden="false" outlineLevel="0" max="9" min="9" style="0" width="2"/>
    <col collapsed="false" customWidth="true" hidden="false" outlineLevel="0" max="13" min="10" style="0" width="11.5"/>
    <col collapsed="false" customWidth="true" hidden="false" outlineLevel="0" max="14" min="14" style="0" width="2"/>
  </cols>
  <sheetData>
    <row r="1" customFormat="false" ht="9.75" hidden="false" customHeight="true" outlineLevel="0" collapsed="false"/>
    <row r="2" customFormat="false" ht="19.5" hidden="false" customHeight="true" outlineLevel="0" collapsed="false">
      <c r="B2" s="1" t="s">
        <v>0</v>
      </c>
      <c r="C2" s="1"/>
      <c r="D2" s="1"/>
      <c r="E2" s="1"/>
      <c r="F2" s="1"/>
      <c r="G2" s="1"/>
      <c r="H2" s="1"/>
      <c r="I2" s="1"/>
      <c r="J2" s="1"/>
      <c r="K2" s="1"/>
      <c r="L2" s="1"/>
      <c r="M2" s="1"/>
    </row>
    <row r="3" customFormat="false" ht="36" hidden="false" customHeight="true" outlineLevel="0" collapsed="false">
      <c r="B3" s="2" t="s">
        <v>1</v>
      </c>
      <c r="C3" s="2"/>
      <c r="D3" s="2"/>
      <c r="E3" s="2"/>
      <c r="F3" s="2"/>
      <c r="G3" s="2"/>
      <c r="H3" s="2"/>
      <c r="I3" s="2"/>
      <c r="J3" s="2"/>
      <c r="K3" s="2"/>
      <c r="L3" s="2"/>
      <c r="M3" s="2"/>
    </row>
    <row r="4" customFormat="false" ht="21.75" hidden="false" customHeight="true" outlineLevel="0" collapsed="false">
      <c r="B4" s="3" t="s">
        <v>2</v>
      </c>
      <c r="C4" s="3"/>
      <c r="D4" s="3"/>
      <c r="E4" s="3"/>
      <c r="F4" s="3"/>
      <c r="G4" s="3"/>
      <c r="H4" s="3"/>
      <c r="I4" s="3"/>
      <c r="J4" s="3"/>
      <c r="K4" s="3"/>
      <c r="L4" s="3"/>
      <c r="M4" s="3"/>
    </row>
    <row r="5" customFormat="false" ht="3" hidden="false" customHeight="true" outlineLevel="0" collapsed="false">
      <c r="B5" s="4"/>
      <c r="C5" s="4"/>
      <c r="D5" s="4"/>
      <c r="E5" s="4"/>
      <c r="F5" s="4"/>
      <c r="G5" s="4"/>
      <c r="H5" s="4"/>
      <c r="I5" s="4"/>
      <c r="J5" s="4"/>
      <c r="K5" s="4"/>
      <c r="L5" s="4"/>
      <c r="M5" s="4"/>
    </row>
    <row r="7" customFormat="false" ht="24" hidden="false" customHeight="true" outlineLevel="0" collapsed="false">
      <c r="B7" s="5" t="s">
        <v>3</v>
      </c>
      <c r="C7" s="5"/>
      <c r="D7" s="5"/>
      <c r="E7" s="5"/>
      <c r="F7" s="5"/>
      <c r="G7" s="5"/>
      <c r="H7" s="5"/>
      <c r="I7" s="5"/>
      <c r="J7" s="5"/>
      <c r="K7" s="5"/>
      <c r="L7" s="5"/>
      <c r="M7" s="5"/>
    </row>
    <row r="8" customFormat="false" ht="7.5" hidden="false" customHeight="true" outlineLevel="0" collapsed="false"/>
    <row r="9" customFormat="false" ht="3.75" hidden="false" customHeight="true" outlineLevel="0" collapsed="false">
      <c r="B9" s="6"/>
      <c r="C9" s="6"/>
      <c r="D9" s="6"/>
      <c r="F9" s="7"/>
      <c r="G9" s="7"/>
      <c r="H9" s="7"/>
      <c r="J9" s="8"/>
      <c r="K9" s="8"/>
      <c r="L9" s="8"/>
      <c r="M9" s="8"/>
    </row>
    <row r="10" customFormat="false" ht="21.75" hidden="false" customHeight="true" outlineLevel="0" collapsed="false">
      <c r="B10" s="9" t="s">
        <v>4</v>
      </c>
      <c r="C10" s="9"/>
      <c r="D10" s="9"/>
      <c r="F10" s="9" t="s">
        <v>5</v>
      </c>
      <c r="G10" s="9"/>
      <c r="H10" s="9"/>
      <c r="J10" s="9" t="s">
        <v>6</v>
      </c>
      <c r="K10" s="9"/>
      <c r="L10" s="9"/>
      <c r="M10" s="9"/>
    </row>
    <row r="11" customFormat="false" ht="39.75" hidden="false" customHeight="true" outlineLevel="0" collapsed="false">
      <c r="B11" s="10" t="n">
        <f aca="false">'Media Plan'!F15</f>
        <v>15000</v>
      </c>
      <c r="C11" s="10"/>
      <c r="D11" s="10"/>
      <c r="F11" s="11" t="n">
        <f aca="false">'Media Plan'!D12</f>
        <v>30277.7777777778</v>
      </c>
      <c r="G11" s="11"/>
      <c r="H11" s="11"/>
      <c r="J11" s="11" t="n">
        <f aca="false">'Media Plan'!D13</f>
        <v>55555.5555555556</v>
      </c>
      <c r="K11" s="11"/>
      <c r="L11" s="11"/>
      <c r="M11" s="11"/>
    </row>
    <row r="12" customFormat="false" ht="21.75" hidden="false" customHeight="true" outlineLevel="0" collapsed="false">
      <c r="B12" s="12" t="str">
        <f aca="false">"Daily budget  "&amp;TEXT('Media Plan'!G15,"$#,##0.00")</f>
        <v>Daily budget  $500.00</v>
      </c>
      <c r="C12" s="12"/>
      <c r="D12" s="12"/>
      <c r="F12" s="12" t="s">
        <v>7</v>
      </c>
      <c r="G12" s="12"/>
      <c r="H12" s="12"/>
      <c r="J12" s="12" t="s">
        <v>7</v>
      </c>
      <c r="K12" s="12"/>
      <c r="L12" s="12"/>
      <c r="M12" s="12"/>
    </row>
    <row r="13" customFormat="false" ht="12" hidden="false" customHeight="true" outlineLevel="0" collapsed="false"/>
    <row r="14" customFormat="false" ht="3.75" hidden="false" customHeight="true" outlineLevel="0" collapsed="false">
      <c r="B14" s="7"/>
      <c r="C14" s="7"/>
      <c r="D14" s="7"/>
      <c r="F14" s="6"/>
      <c r="G14" s="6"/>
      <c r="H14" s="6"/>
      <c r="J14" s="13"/>
      <c r="K14" s="13"/>
      <c r="L14" s="13"/>
      <c r="M14" s="13"/>
    </row>
    <row r="15" customFormat="false" ht="21.75" hidden="false" customHeight="true" outlineLevel="0" collapsed="false">
      <c r="B15" s="9" t="s">
        <v>8</v>
      </c>
      <c r="C15" s="9"/>
      <c r="D15" s="9"/>
      <c r="F15" s="9" t="s">
        <v>9</v>
      </c>
      <c r="G15" s="9"/>
      <c r="H15" s="9"/>
      <c r="J15" s="9" t="s">
        <v>10</v>
      </c>
      <c r="K15" s="9"/>
      <c r="L15" s="9"/>
      <c r="M15" s="9"/>
    </row>
    <row r="16" customFormat="false" ht="39.75" hidden="false" customHeight="true" outlineLevel="0" collapsed="false">
      <c r="B16" s="11" t="n">
        <f aca="false">'Media Plan'!D14</f>
        <v>982.142857142857</v>
      </c>
      <c r="C16" s="11"/>
      <c r="D16" s="11"/>
      <c r="F16" s="14" t="s">
        <v>11</v>
      </c>
      <c r="G16" s="14"/>
      <c r="H16" s="14"/>
      <c r="J16" s="14" t="s">
        <v>12</v>
      </c>
      <c r="K16" s="14"/>
      <c r="L16" s="14"/>
      <c r="M16" s="14"/>
    </row>
    <row r="17" customFormat="false" ht="21.75" hidden="false" customHeight="true" outlineLevel="0" collapsed="false">
      <c r="B17" s="12" t="s">
        <v>7</v>
      </c>
      <c r="C17" s="12"/>
      <c r="D17" s="12"/>
      <c r="F17" s="12" t="s">
        <v>13</v>
      </c>
      <c r="G17" s="12"/>
      <c r="H17" s="12"/>
      <c r="J17" s="12" t="s">
        <v>14</v>
      </c>
      <c r="K17" s="12"/>
      <c r="L17" s="12"/>
      <c r="M17" s="12"/>
    </row>
    <row r="19" customFormat="false" ht="24" hidden="false" customHeight="true" outlineLevel="0" collapsed="false">
      <c r="B19" s="5" t="s">
        <v>15</v>
      </c>
      <c r="C19" s="5"/>
      <c r="D19" s="5"/>
      <c r="E19" s="5"/>
      <c r="F19" s="5"/>
      <c r="G19" s="5"/>
      <c r="H19" s="5"/>
      <c r="I19" s="5"/>
      <c r="J19" s="5"/>
      <c r="K19" s="5"/>
      <c r="L19" s="5"/>
      <c r="M19" s="5"/>
    </row>
    <row r="20" customFormat="false" ht="7.5" hidden="false" customHeight="true" outlineLevel="0" collapsed="false"/>
    <row r="21" customFormat="false" ht="25.5" hidden="false" customHeight="true" outlineLevel="0" collapsed="false">
      <c r="B21" s="15" t="s">
        <v>16</v>
      </c>
      <c r="C21" s="15"/>
      <c r="D21" s="15" t="s">
        <v>17</v>
      </c>
      <c r="E21" s="15"/>
      <c r="F21" s="15" t="s">
        <v>18</v>
      </c>
      <c r="G21" s="15"/>
      <c r="H21" s="15" t="s">
        <v>19</v>
      </c>
      <c r="I21" s="15"/>
      <c r="J21" s="15" t="s">
        <v>20</v>
      </c>
      <c r="K21" s="15"/>
      <c r="L21" s="15" t="s">
        <v>21</v>
      </c>
      <c r="M21" s="15" t="s">
        <v>22</v>
      </c>
    </row>
    <row r="22" customFormat="false" ht="25.5" hidden="false" customHeight="true" outlineLevel="0" collapsed="false">
      <c r="B22" s="16" t="s">
        <v>23</v>
      </c>
      <c r="C22" s="16"/>
      <c r="D22" s="17" t="n">
        <f aca="false">'Media Plan'!H10</f>
        <v>0.5</v>
      </c>
      <c r="E22" s="17"/>
      <c r="F22" s="18" t="n">
        <f aca="false">'Media Plan'!J15</f>
        <v>7500</v>
      </c>
      <c r="G22" s="18"/>
      <c r="H22" s="18" t="n">
        <f aca="false">'Media Plan'!K15</f>
        <v>250</v>
      </c>
      <c r="I22" s="18"/>
      <c r="J22" s="19" t="n">
        <f aca="false">'Media Plan'!H12</f>
        <v>27777.7777777778</v>
      </c>
      <c r="K22" s="19"/>
      <c r="L22" s="19" t="n">
        <f aca="false">'Media Plan'!H13</f>
        <v>27777.7777777778</v>
      </c>
      <c r="M22" s="19" t="n">
        <f aca="false">'Media Plan'!H14</f>
        <v>625</v>
      </c>
    </row>
    <row r="23" customFormat="false" ht="25.5" hidden="false" customHeight="true" outlineLevel="0" collapsed="false">
      <c r="B23" s="20" t="s">
        <v>24</v>
      </c>
      <c r="C23" s="20"/>
      <c r="D23" s="21" t="n">
        <f aca="false">'Media Plan'!L10</f>
        <v>0.5</v>
      </c>
      <c r="E23" s="21"/>
      <c r="F23" s="22" t="n">
        <f aca="false">'Media Plan'!N15</f>
        <v>7500</v>
      </c>
      <c r="G23" s="22"/>
      <c r="H23" s="22" t="n">
        <f aca="false">'Media Plan'!O15</f>
        <v>250</v>
      </c>
      <c r="I23" s="22"/>
      <c r="J23" s="23" t="n">
        <f aca="false">'Media Plan'!L12</f>
        <v>27777.7777777778</v>
      </c>
      <c r="K23" s="23"/>
      <c r="L23" s="23" t="n">
        <f aca="false">'Media Plan'!L13</f>
        <v>27777.7777777778</v>
      </c>
      <c r="M23" s="23" t="n">
        <f aca="false">'Media Plan'!L14</f>
        <v>357.142857142857</v>
      </c>
    </row>
    <row r="24" customFormat="false" ht="25.5" hidden="false" customHeight="true" outlineLevel="0" collapsed="false">
      <c r="B24" s="24" t="s">
        <v>25</v>
      </c>
      <c r="C24" s="24"/>
      <c r="D24" s="25" t="n">
        <f aca="false">D22+D23</f>
        <v>1</v>
      </c>
      <c r="E24" s="25"/>
      <c r="F24" s="26" t="n">
        <f aca="false">'Media Plan'!F15</f>
        <v>15000</v>
      </c>
      <c r="G24" s="26"/>
      <c r="H24" s="26" t="n">
        <f aca="false">'Media Plan'!G15</f>
        <v>500</v>
      </c>
      <c r="I24" s="26"/>
      <c r="J24" s="27" t="n">
        <f aca="false">'Media Plan'!D12</f>
        <v>30277.7777777778</v>
      </c>
      <c r="K24" s="27"/>
      <c r="L24" s="27" t="n">
        <f aca="false">'Media Plan'!D13</f>
        <v>55555.5555555556</v>
      </c>
      <c r="M24" s="27" t="n">
        <f aca="false">'Media Plan'!D14</f>
        <v>982.142857142857</v>
      </c>
    </row>
    <row r="26" customFormat="false" ht="24" hidden="false" customHeight="true" outlineLevel="0" collapsed="false">
      <c r="B26" s="5" t="s">
        <v>26</v>
      </c>
      <c r="C26" s="5"/>
      <c r="D26" s="5"/>
      <c r="E26" s="5"/>
      <c r="F26" s="5"/>
      <c r="G26" s="5"/>
      <c r="H26" s="5"/>
      <c r="I26" s="5"/>
      <c r="J26" s="5"/>
      <c r="K26" s="5"/>
      <c r="L26" s="5"/>
      <c r="M26" s="5"/>
    </row>
    <row r="27" customFormat="false" ht="7.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c r="B44" s="28" t="s">
        <v>27</v>
      </c>
      <c r="C44" s="28"/>
      <c r="D44" s="28"/>
      <c r="E44" s="28"/>
      <c r="F44" s="28"/>
      <c r="G44" s="28"/>
      <c r="H44" s="28"/>
      <c r="I44" s="28"/>
      <c r="J44" s="28"/>
      <c r="K44" s="28"/>
      <c r="L44" s="28"/>
      <c r="M44" s="28"/>
    </row>
  </sheetData>
  <mergeCells count="52">
    <mergeCell ref="B2:M2"/>
    <mergeCell ref="B3:M3"/>
    <mergeCell ref="B4:M4"/>
    <mergeCell ref="B5:M5"/>
    <mergeCell ref="B7:M7"/>
    <mergeCell ref="B9:D9"/>
    <mergeCell ref="F9:H9"/>
    <mergeCell ref="J9:M9"/>
    <mergeCell ref="B10:D10"/>
    <mergeCell ref="F10:H10"/>
    <mergeCell ref="J10:M10"/>
    <mergeCell ref="B11:D11"/>
    <mergeCell ref="F11:H11"/>
    <mergeCell ref="J11:M11"/>
    <mergeCell ref="B12:D12"/>
    <mergeCell ref="F12:H12"/>
    <mergeCell ref="J12:M12"/>
    <mergeCell ref="B14:D14"/>
    <mergeCell ref="F14:H14"/>
    <mergeCell ref="J14:M14"/>
    <mergeCell ref="B15:D15"/>
    <mergeCell ref="F15:H15"/>
    <mergeCell ref="J15:M15"/>
    <mergeCell ref="B16:D16"/>
    <mergeCell ref="F16:H16"/>
    <mergeCell ref="J16:M16"/>
    <mergeCell ref="B17:D17"/>
    <mergeCell ref="F17:H17"/>
    <mergeCell ref="J17:M17"/>
    <mergeCell ref="B19:M19"/>
    <mergeCell ref="B21:C21"/>
    <mergeCell ref="D21:E21"/>
    <mergeCell ref="F21:G21"/>
    <mergeCell ref="H21:I21"/>
    <mergeCell ref="J21:K21"/>
    <mergeCell ref="B22:C22"/>
    <mergeCell ref="D22:E22"/>
    <mergeCell ref="F22:G22"/>
    <mergeCell ref="H22:I22"/>
    <mergeCell ref="J22:K22"/>
    <mergeCell ref="B23:C23"/>
    <mergeCell ref="D23:E23"/>
    <mergeCell ref="F23:G23"/>
    <mergeCell ref="H23:I23"/>
    <mergeCell ref="J23:K23"/>
    <mergeCell ref="B24:C24"/>
    <mergeCell ref="D24:E24"/>
    <mergeCell ref="F24:G24"/>
    <mergeCell ref="H24:I24"/>
    <mergeCell ref="J24:K24"/>
    <mergeCell ref="B26:M26"/>
    <mergeCell ref="B44:M44"/>
  </mergeCells>
  <printOptions headings="false" gridLines="false" gridLinesSet="true" horizontalCentered="true" verticalCentered="false"/>
  <pageMargins left="0.3" right="0.3" top="0.4" bottom="0.4"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&amp;L&amp;8 &amp;K6b7790Foresight by Tawazun  |  Paid Social Media Plan  |  Confidential&amp;R&amp;8 &amp;K6b7790Page &amp;P of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O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12"/>
    <col collapsed="false" customWidth="true" hidden="false" outlineLevel="0" max="3" min="3" style="0" width="19"/>
    <col collapsed="false" customWidth="true" hidden="false" outlineLevel="0" max="4" min="4" style="0" width="14"/>
    <col collapsed="false" customWidth="true" hidden="false" outlineLevel="0" max="5" min="5" style="0" width="10"/>
    <col collapsed="false" customWidth="true" hidden="false" outlineLevel="0" max="8" min="6" style="0" width="14"/>
    <col collapsed="false" customWidth="true" hidden="false" outlineLevel="0" max="9" min="9" style="0" width="10"/>
    <col collapsed="false" customWidth="true" hidden="false" outlineLevel="0" max="12" min="10" style="0" width="14"/>
    <col collapsed="false" customWidth="true" hidden="false" outlineLevel="0" max="13" min="13" style="0" width="10"/>
    <col collapsed="false" customWidth="true" hidden="false" outlineLevel="0" max="15" min="14" style="0" width="14"/>
    <col collapsed="false" customWidth="true" hidden="false" outlineLevel="0" max="16" min="16" style="0" width="2"/>
  </cols>
  <sheetData>
    <row r="1" customFormat="false" ht="9.75" hidden="false" customHeight="true" outlineLevel="0" collapsed="false"/>
    <row r="2" customFormat="false" ht="19.5" hidden="false" customHeight="true" outlineLevel="0" collapsed="false">
      <c r="B2" s="1" t="s">
        <v>28</v>
      </c>
      <c r="C2" s="1"/>
      <c r="D2" s="1"/>
      <c r="E2" s="1"/>
      <c r="F2" s="1"/>
      <c r="G2" s="1"/>
      <c r="H2" s="1"/>
      <c r="I2" s="1"/>
      <c r="J2" s="1"/>
      <c r="K2" s="1"/>
      <c r="L2" s="1"/>
      <c r="M2" s="1"/>
      <c r="N2" s="1"/>
      <c r="O2" s="1"/>
    </row>
    <row r="3" customFormat="false" ht="36" hidden="false" customHeight="true" outlineLevel="0" collapsed="false">
      <c r="B3" s="2" t="s">
        <v>29</v>
      </c>
      <c r="C3" s="2"/>
      <c r="D3" s="2"/>
      <c r="E3" s="2"/>
      <c r="F3" s="2"/>
      <c r="G3" s="2"/>
      <c r="H3" s="2"/>
      <c r="I3" s="2"/>
      <c r="J3" s="2"/>
      <c r="K3" s="2"/>
      <c r="L3" s="2"/>
      <c r="M3" s="2"/>
      <c r="N3" s="2"/>
      <c r="O3" s="2"/>
    </row>
    <row r="4" customFormat="false" ht="21.75" hidden="false" customHeight="true" outlineLevel="0" collapsed="false">
      <c r="B4" s="3" t="s">
        <v>2</v>
      </c>
      <c r="C4" s="3"/>
      <c r="D4" s="3"/>
      <c r="E4" s="3"/>
      <c r="F4" s="3"/>
      <c r="G4" s="3"/>
      <c r="H4" s="3"/>
      <c r="I4" s="3"/>
      <c r="J4" s="3"/>
      <c r="K4" s="3"/>
      <c r="L4" s="3"/>
      <c r="M4" s="3"/>
      <c r="N4" s="3"/>
      <c r="O4" s="3"/>
    </row>
    <row r="5" customFormat="false" ht="3" hidden="false" customHeight="true" outlineLevel="0" collapsed="false">
      <c r="B5" s="4"/>
      <c r="C5" s="4"/>
      <c r="D5" s="4"/>
      <c r="E5" s="4"/>
      <c r="F5" s="4"/>
      <c r="G5" s="4"/>
      <c r="H5" s="4"/>
      <c r="I5" s="4"/>
      <c r="J5" s="4"/>
      <c r="K5" s="4"/>
      <c r="L5" s="4"/>
      <c r="M5" s="4"/>
      <c r="N5" s="4"/>
      <c r="O5" s="4"/>
    </row>
    <row r="7" customFormat="false" ht="24" hidden="false" customHeight="true" outlineLevel="0" collapsed="false">
      <c r="B7" s="5" t="s">
        <v>30</v>
      </c>
      <c r="C7" s="5"/>
      <c r="D7" s="5"/>
      <c r="E7" s="5"/>
      <c r="F7" s="5"/>
      <c r="G7" s="5"/>
      <c r="H7" s="5"/>
      <c r="I7" s="5"/>
      <c r="J7" s="5"/>
      <c r="K7" s="5"/>
      <c r="L7" s="5"/>
      <c r="M7" s="5"/>
      <c r="N7" s="5"/>
      <c r="O7" s="5"/>
    </row>
    <row r="8" customFormat="false" ht="7.5" hidden="false" customHeight="true" outlineLevel="0" collapsed="false"/>
    <row r="9" customFormat="false" ht="27.75" hidden="false" customHeight="true" outlineLevel="0" collapsed="false">
      <c r="B9" s="29" t="s">
        <v>31</v>
      </c>
      <c r="C9" s="29"/>
      <c r="D9" s="30" t="s">
        <v>32</v>
      </c>
      <c r="E9" s="30"/>
      <c r="F9" s="30"/>
      <c r="G9" s="30"/>
      <c r="H9" s="31" t="s">
        <v>33</v>
      </c>
      <c r="I9" s="31"/>
      <c r="J9" s="31"/>
      <c r="K9" s="31"/>
      <c r="L9" s="32" t="s">
        <v>34</v>
      </c>
      <c r="M9" s="32"/>
      <c r="N9" s="32"/>
      <c r="O9" s="32"/>
    </row>
    <row r="10" customFormat="false" ht="19.5" hidden="false" customHeight="true" outlineLevel="0" collapsed="false">
      <c r="B10" s="29"/>
      <c r="C10" s="29"/>
      <c r="D10" s="33" t="s">
        <v>35</v>
      </c>
      <c r="E10" s="33"/>
      <c r="F10" s="33"/>
      <c r="G10" s="33"/>
      <c r="H10" s="34" t="n">
        <f aca="false">0.5</f>
        <v>0.5</v>
      </c>
      <c r="I10" s="34"/>
      <c r="J10" s="34"/>
      <c r="K10" s="34"/>
      <c r="L10" s="35" t="n">
        <f aca="false">0.5</f>
        <v>0.5</v>
      </c>
      <c r="M10" s="35"/>
      <c r="N10" s="35"/>
      <c r="O10" s="35"/>
    </row>
    <row r="11" customFormat="false" ht="31.5" hidden="false" customHeight="true" outlineLevel="0" collapsed="false">
      <c r="B11" s="33" t="s">
        <v>36</v>
      </c>
      <c r="C11" s="33" t="s">
        <v>37</v>
      </c>
      <c r="D11" s="33" t="s">
        <v>38</v>
      </c>
      <c r="E11" s="33" t="s">
        <v>39</v>
      </c>
      <c r="F11" s="33" t="s">
        <v>18</v>
      </c>
      <c r="G11" s="33" t="s">
        <v>40</v>
      </c>
      <c r="H11" s="36" t="s">
        <v>38</v>
      </c>
      <c r="I11" s="36" t="s">
        <v>39</v>
      </c>
      <c r="J11" s="36" t="s">
        <v>18</v>
      </c>
      <c r="K11" s="36" t="s">
        <v>40</v>
      </c>
      <c r="L11" s="37" t="s">
        <v>38</v>
      </c>
      <c r="M11" s="37" t="s">
        <v>39</v>
      </c>
      <c r="N11" s="37" t="s">
        <v>18</v>
      </c>
      <c r="O11" s="37" t="s">
        <v>40</v>
      </c>
    </row>
    <row r="12" customFormat="false" ht="30" hidden="false" customHeight="true" outlineLevel="0" collapsed="false">
      <c r="B12" s="38" t="s">
        <v>41</v>
      </c>
      <c r="C12" s="39" t="s">
        <v>20</v>
      </c>
      <c r="D12" s="19" t="n">
        <f aca="false">H12+N12</f>
        <v>30277.7777777778</v>
      </c>
      <c r="E12" s="18" t="n">
        <f aca="false">I12</f>
        <v>0.09</v>
      </c>
      <c r="F12" s="18" t="n">
        <v>5000</v>
      </c>
      <c r="G12" s="18" t="n">
        <f aca="false">K12+O12</f>
        <v>166.666666666667</v>
      </c>
      <c r="H12" s="19" t="n">
        <f aca="false">J12/I12</f>
        <v>27777.7777777778</v>
      </c>
      <c r="I12" s="18" t="n">
        <v>0.09</v>
      </c>
      <c r="J12" s="18" t="n">
        <f aca="false">F12*50/100</f>
        <v>2500</v>
      </c>
      <c r="K12" s="18" t="n">
        <f aca="false">J12/30</f>
        <v>83.3333333333333</v>
      </c>
      <c r="L12" s="19" t="n">
        <f aca="false">N12/M12</f>
        <v>27777.7777777778</v>
      </c>
      <c r="M12" s="18" t="n">
        <v>0.09</v>
      </c>
      <c r="N12" s="18" t="n">
        <f aca="false">F12*50/100</f>
        <v>2500</v>
      </c>
      <c r="O12" s="18" t="n">
        <f aca="false">N12/30</f>
        <v>83.3333333333333</v>
      </c>
    </row>
    <row r="13" customFormat="false" ht="30" hidden="false" customHeight="true" outlineLevel="0" collapsed="false">
      <c r="B13" s="38"/>
      <c r="C13" s="40" t="s">
        <v>21</v>
      </c>
      <c r="D13" s="23" t="n">
        <f aca="false">H13+L13</f>
        <v>55555.5555555556</v>
      </c>
      <c r="E13" s="22" t="n">
        <f aca="false">I13</f>
        <v>0.09</v>
      </c>
      <c r="F13" s="22" t="n">
        <v>5000</v>
      </c>
      <c r="G13" s="22" t="n">
        <f aca="false">K13+O13</f>
        <v>166.666666666667</v>
      </c>
      <c r="H13" s="23" t="n">
        <f aca="false">J13/I13</f>
        <v>27777.7777777778</v>
      </c>
      <c r="I13" s="22" t="n">
        <v>0.09</v>
      </c>
      <c r="J13" s="22" t="n">
        <f aca="false">F13*50/100</f>
        <v>2500</v>
      </c>
      <c r="K13" s="22" t="n">
        <f aca="false">J13/30</f>
        <v>83.3333333333333</v>
      </c>
      <c r="L13" s="23" t="n">
        <f aca="false">N13/M13</f>
        <v>27777.7777777778</v>
      </c>
      <c r="M13" s="22" t="n">
        <v>0.09</v>
      </c>
      <c r="N13" s="22" t="n">
        <f aca="false">F13*50/100</f>
        <v>2500</v>
      </c>
      <c r="O13" s="22" t="n">
        <f aca="false">N13/30</f>
        <v>83.3333333333333</v>
      </c>
    </row>
    <row r="14" customFormat="false" ht="30" hidden="false" customHeight="true" outlineLevel="0" collapsed="false">
      <c r="B14" s="38"/>
      <c r="C14" s="39" t="s">
        <v>42</v>
      </c>
      <c r="D14" s="19" t="n">
        <f aca="false">H14+L14</f>
        <v>982.142857142857</v>
      </c>
      <c r="E14" s="18" t="n">
        <f aca="false">I14</f>
        <v>4</v>
      </c>
      <c r="F14" s="18" t="n">
        <v>5000</v>
      </c>
      <c r="G14" s="18" t="n">
        <f aca="false">K14+O14</f>
        <v>166.666666666667</v>
      </c>
      <c r="H14" s="19" t="n">
        <f aca="false">J14/I14</f>
        <v>625</v>
      </c>
      <c r="I14" s="18" t="n">
        <v>4</v>
      </c>
      <c r="J14" s="18" t="n">
        <f aca="false">F14*50/100</f>
        <v>2500</v>
      </c>
      <c r="K14" s="18" t="n">
        <f aca="false">J14/30</f>
        <v>83.3333333333333</v>
      </c>
      <c r="L14" s="19" t="n">
        <f aca="false">N14/M14</f>
        <v>357.142857142857</v>
      </c>
      <c r="M14" s="18" t="n">
        <v>7</v>
      </c>
      <c r="N14" s="18" t="n">
        <f aca="false">F14*50/100</f>
        <v>2500</v>
      </c>
      <c r="O14" s="18" t="n">
        <f aca="false">N14/30</f>
        <v>83.3333333333333</v>
      </c>
    </row>
    <row r="15" customFormat="false" ht="30" hidden="false" customHeight="true" outlineLevel="0" collapsed="false">
      <c r="B15" s="41" t="s">
        <v>32</v>
      </c>
      <c r="C15" s="41"/>
      <c r="D15" s="27"/>
      <c r="E15" s="27"/>
      <c r="F15" s="26" t="n">
        <f aca="false">SUM(F12:F14)</f>
        <v>15000</v>
      </c>
      <c r="G15" s="26" t="n">
        <f aca="false">SUM(G12:G14)</f>
        <v>500</v>
      </c>
      <c r="H15" s="26"/>
      <c r="I15" s="26"/>
      <c r="J15" s="26" t="n">
        <f aca="false">SUM(J12:J14)</f>
        <v>7500</v>
      </c>
      <c r="K15" s="26" t="n">
        <f aca="false">SUM(K12:K14)</f>
        <v>250</v>
      </c>
      <c r="L15" s="26"/>
      <c r="M15" s="26"/>
      <c r="N15" s="26" t="n">
        <f aca="false">SUM(N12:N14)</f>
        <v>7500</v>
      </c>
      <c r="O15" s="26" t="n">
        <f aca="false">SUM(O12:O14)</f>
        <v>250</v>
      </c>
    </row>
    <row r="17" customFormat="false" ht="24" hidden="false" customHeight="true" outlineLevel="0" collapsed="false">
      <c r="B17" s="5" t="s">
        <v>43</v>
      </c>
      <c r="C17" s="5"/>
      <c r="D17" s="5"/>
      <c r="E17" s="5"/>
      <c r="F17" s="5"/>
      <c r="G17" s="5"/>
      <c r="H17" s="5"/>
      <c r="I17" s="5"/>
      <c r="J17" s="5"/>
      <c r="K17" s="5"/>
      <c r="L17" s="5"/>
      <c r="M17" s="5"/>
      <c r="N17" s="5"/>
      <c r="O17" s="5"/>
    </row>
    <row r="18" customFormat="false" ht="7.5" hidden="false" customHeight="true" outlineLevel="0" collapsed="false"/>
    <row r="19" customFormat="false" ht="24" hidden="false" customHeight="true" outlineLevel="0" collapsed="false">
      <c r="B19" s="33" t="s">
        <v>44</v>
      </c>
      <c r="C19" s="33"/>
      <c r="D19" s="33"/>
      <c r="E19" s="33" t="s">
        <v>45</v>
      </c>
      <c r="F19" s="33"/>
      <c r="G19" s="33" t="s">
        <v>46</v>
      </c>
      <c r="H19" s="33"/>
      <c r="I19" s="33"/>
      <c r="J19" s="33"/>
      <c r="K19" s="33"/>
      <c r="L19" s="33"/>
      <c r="M19" s="33"/>
      <c r="N19" s="33"/>
      <c r="O19" s="33"/>
    </row>
    <row r="20" customFormat="false" ht="43.5" hidden="false" customHeight="true" outlineLevel="0" collapsed="false">
      <c r="B20" s="42" t="s">
        <v>47</v>
      </c>
      <c r="C20" s="42"/>
      <c r="D20" s="42"/>
      <c r="E20" s="43" t="n">
        <f aca="false">F15</f>
        <v>15000</v>
      </c>
      <c r="F20" s="43"/>
      <c r="G20" s="44" t="s">
        <v>48</v>
      </c>
      <c r="H20" s="44"/>
      <c r="I20" s="44"/>
      <c r="J20" s="44"/>
      <c r="K20" s="44"/>
      <c r="L20" s="44"/>
      <c r="M20" s="44"/>
      <c r="N20" s="44"/>
      <c r="O20" s="44"/>
    </row>
    <row r="21" customFormat="false" ht="43.5" hidden="false" customHeight="true" outlineLevel="0" collapsed="false">
      <c r="B21" s="45" t="s">
        <v>49</v>
      </c>
      <c r="C21" s="45"/>
      <c r="D21" s="45"/>
      <c r="E21" s="46" t="n">
        <f aca="false">D12</f>
        <v>30277.7777777778</v>
      </c>
      <c r="F21" s="46"/>
      <c r="G21" s="47" t="s">
        <v>50</v>
      </c>
      <c r="H21" s="47"/>
      <c r="I21" s="47"/>
      <c r="J21" s="47"/>
      <c r="K21" s="47"/>
      <c r="L21" s="47"/>
      <c r="M21" s="47"/>
      <c r="N21" s="47"/>
      <c r="O21" s="47"/>
    </row>
    <row r="22" customFormat="false" ht="43.5" hidden="false" customHeight="true" outlineLevel="0" collapsed="false">
      <c r="B22" s="42" t="s">
        <v>51</v>
      </c>
      <c r="C22" s="42"/>
      <c r="D22" s="42"/>
      <c r="E22" s="48" t="n">
        <f aca="false">D13</f>
        <v>55555.5555555556</v>
      </c>
      <c r="F22" s="48"/>
      <c r="G22" s="44" t="s">
        <v>52</v>
      </c>
      <c r="H22" s="44"/>
      <c r="I22" s="44"/>
      <c r="J22" s="44"/>
      <c r="K22" s="44"/>
      <c r="L22" s="44"/>
      <c r="M22" s="44"/>
      <c r="N22" s="44"/>
      <c r="O22" s="44"/>
    </row>
    <row r="23" customFormat="false" ht="43.5" hidden="false" customHeight="true" outlineLevel="0" collapsed="false">
      <c r="B23" s="45" t="s">
        <v>53</v>
      </c>
      <c r="C23" s="45"/>
      <c r="D23" s="45"/>
      <c r="E23" s="46" t="n">
        <f aca="false">D14</f>
        <v>982.142857142857</v>
      </c>
      <c r="F23" s="46"/>
      <c r="G23" s="47" t="s">
        <v>54</v>
      </c>
      <c r="H23" s="47"/>
      <c r="I23" s="47"/>
      <c r="J23" s="47"/>
      <c r="K23" s="47"/>
      <c r="L23" s="47"/>
      <c r="M23" s="47"/>
      <c r="N23" s="47"/>
      <c r="O23" s="47"/>
    </row>
    <row r="25" customFormat="false" ht="15" hidden="false" customHeight="true" outlineLevel="0" collapsed="false">
      <c r="B25" s="28" t="s">
        <v>55</v>
      </c>
      <c r="C25" s="28"/>
      <c r="D25" s="28"/>
      <c r="E25" s="28"/>
      <c r="F25" s="28"/>
      <c r="G25" s="28"/>
      <c r="H25" s="28"/>
      <c r="I25" s="28"/>
      <c r="J25" s="28"/>
      <c r="K25" s="28"/>
      <c r="L25" s="28"/>
      <c r="M25" s="28"/>
      <c r="N25" s="28"/>
      <c r="O25" s="28"/>
    </row>
  </sheetData>
  <mergeCells count="31">
    <mergeCell ref="B2:O2"/>
    <mergeCell ref="B3:O3"/>
    <mergeCell ref="B4:O4"/>
    <mergeCell ref="B5:O5"/>
    <mergeCell ref="B7:O7"/>
    <mergeCell ref="B9:C10"/>
    <mergeCell ref="D9:G9"/>
    <mergeCell ref="H9:K9"/>
    <mergeCell ref="L9:O9"/>
    <mergeCell ref="D10:G10"/>
    <mergeCell ref="H10:K10"/>
    <mergeCell ref="L10:O10"/>
    <mergeCell ref="B12:B14"/>
    <mergeCell ref="B15:C15"/>
    <mergeCell ref="B17:O17"/>
    <mergeCell ref="B19:D19"/>
    <mergeCell ref="E19:F19"/>
    <mergeCell ref="G19:O19"/>
    <mergeCell ref="B20:D20"/>
    <mergeCell ref="E20:F20"/>
    <mergeCell ref="G20:O20"/>
    <mergeCell ref="B21:D21"/>
    <mergeCell ref="E21:F21"/>
    <mergeCell ref="G21:O21"/>
    <mergeCell ref="B22:D22"/>
    <mergeCell ref="E22:F22"/>
    <mergeCell ref="G22:O22"/>
    <mergeCell ref="B23:D23"/>
    <mergeCell ref="E23:F23"/>
    <mergeCell ref="G23:O23"/>
    <mergeCell ref="B25:O25"/>
  </mergeCells>
  <printOptions headings="false" gridLines="false" gridLinesSet="true" horizontalCentered="true" verticalCentered="false"/>
  <pageMargins left="0.3" right="0.3" top="0.4" bottom="0.4"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&amp;L&amp;8 &amp;K6b7790Foresight by Tawazun  |  Paid Social Media Plan  |  Confidential&amp;R&amp;8 &amp;K6b7790Page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3" min="3" style="0" width="95"/>
    <col collapsed="false" customWidth="true" hidden="false" outlineLevel="0" max="4" min="4" style="0" width="2"/>
  </cols>
  <sheetData>
    <row r="1" customFormat="false" ht="9.75" hidden="false" customHeight="true" outlineLevel="0" collapsed="false"/>
    <row r="2" customFormat="false" ht="19.5" hidden="false" customHeight="true" outlineLevel="0" collapsed="false">
      <c r="B2" s="1" t="s">
        <v>56</v>
      </c>
      <c r="C2" s="1"/>
    </row>
    <row r="3" customFormat="false" ht="36" hidden="false" customHeight="true" outlineLevel="0" collapsed="false">
      <c r="B3" s="2" t="s">
        <v>57</v>
      </c>
      <c r="C3" s="2"/>
    </row>
    <row r="4" customFormat="false" ht="21.75" hidden="false" customHeight="true" outlineLevel="0" collapsed="false">
      <c r="B4" s="3" t="s">
        <v>2</v>
      </c>
      <c r="C4" s="3"/>
    </row>
    <row r="5" customFormat="false" ht="3" hidden="false" customHeight="true" outlineLevel="0" collapsed="false">
      <c r="B5" s="4"/>
      <c r="C5" s="4"/>
    </row>
    <row r="7" customFormat="false" ht="24" hidden="false" customHeight="true" outlineLevel="0" collapsed="false">
      <c r="B7" s="5" t="s">
        <v>56</v>
      </c>
      <c r="C7" s="5"/>
    </row>
    <row r="8" customFormat="false" ht="7.5" hidden="false" customHeight="true" outlineLevel="0" collapsed="false"/>
    <row r="9" customFormat="false" ht="43.5" hidden="false" customHeight="true" outlineLevel="0" collapsed="false">
      <c r="B9" s="45" t="s">
        <v>20</v>
      </c>
      <c r="C9" s="49" t="s">
        <v>50</v>
      </c>
    </row>
    <row r="10" customFormat="false" ht="43.5" hidden="false" customHeight="true" outlineLevel="0" collapsed="false">
      <c r="B10" s="45" t="s">
        <v>21</v>
      </c>
      <c r="C10" s="49" t="s">
        <v>52</v>
      </c>
    </row>
    <row r="11" customFormat="false" ht="43.5" hidden="false" customHeight="true" outlineLevel="0" collapsed="false">
      <c r="B11" s="45" t="s">
        <v>42</v>
      </c>
      <c r="C11" s="49" t="s">
        <v>54</v>
      </c>
    </row>
    <row r="13" customFormat="false" ht="24" hidden="false" customHeight="true" outlineLevel="0" collapsed="false">
      <c r="B13" s="5" t="s">
        <v>58</v>
      </c>
      <c r="C13" s="5"/>
    </row>
    <row r="15" customFormat="false" ht="25.5" hidden="false" customHeight="true" outlineLevel="0" collapsed="false">
      <c r="B15" s="45" t="s">
        <v>59</v>
      </c>
      <c r="C15" s="49" t="s">
        <v>60</v>
      </c>
    </row>
    <row r="16" customFormat="false" ht="25.5" hidden="false" customHeight="true" outlineLevel="0" collapsed="false">
      <c r="B16" s="45" t="s">
        <v>39</v>
      </c>
      <c r="C16" s="49" t="s">
        <v>61</v>
      </c>
    </row>
    <row r="17" customFormat="false" ht="25.5" hidden="false" customHeight="true" outlineLevel="0" collapsed="false">
      <c r="B17" s="45" t="s">
        <v>18</v>
      </c>
      <c r="C17" s="49" t="s">
        <v>62</v>
      </c>
    </row>
    <row r="18" customFormat="false" ht="25.5" hidden="false" customHeight="true" outlineLevel="0" collapsed="false">
      <c r="B18" s="45" t="s">
        <v>19</v>
      </c>
      <c r="C18" s="49" t="s">
        <v>63</v>
      </c>
    </row>
    <row r="19" customFormat="false" ht="25.5" hidden="false" customHeight="true" outlineLevel="0" collapsed="false">
      <c r="B19" s="45" t="s">
        <v>17</v>
      </c>
      <c r="C19" s="49" t="s">
        <v>64</v>
      </c>
    </row>
  </sheetData>
  <mergeCells count="6">
    <mergeCell ref="B2:C2"/>
    <mergeCell ref="B3:C3"/>
    <mergeCell ref="B4:C4"/>
    <mergeCell ref="B5:C5"/>
    <mergeCell ref="B7:C7"/>
    <mergeCell ref="B13:C13"/>
  </mergeCells>
  <printOptions headings="false" gridLines="false" gridLinesSet="true" horizontalCentered="true" verticalCentered="false"/>
  <pageMargins left="0.3" right="0.3" top="0.4" bottom="0.4"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&amp;L&amp;8 &amp;K6b7790Foresight by Tawazun  |  Paid Social Media Plan  |  Confidential&amp;R&amp;8 &amp;K6b7790Page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2026-10-05T20:22:49Z</dcterms:created>
  <dc:creator>openpyxl</dc:creator>
  <dc:description/>
  <dc:language>en-US</dc:language>
  <cp:lastModifiedBy/>
  <dcterms:modified xsi:type="dcterms:W3CDTF">2026-10-05T20:22:51Z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