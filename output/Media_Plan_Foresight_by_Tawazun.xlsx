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edia Plan" sheetId="1" state="visible" r:id="rId3"/>
  </sheets>
  <definedNames>
    <definedName function="false" hidden="false" localSheetId="0" name="_xlnm.Print_Area" vbProcedure="false">'Media Plan'!$A$1:$P$21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<sst xmlns="http://schemas.openxmlformats.org/spreadsheetml/2006/main" count="38" uniqueCount="29">
  <si>
    <t xml:space="preserve">MEDIA PLAN</t>
  </si>
  <si>
    <t xml:space="preserve">Foresight by Tawazun   |   Market: UAE   |   Duration: 30 Days   |   Platforms: Instagram &amp; Twitter</t>
  </si>
  <si>
    <t xml:space="preserve">Campaign</t>
  </si>
  <si>
    <t xml:space="preserve">TOTAL</t>
  </si>
  <si>
    <t xml:space="preserve">INSTAGRAM</t>
  </si>
  <si>
    <t xml:space="preserve">TWITTER</t>
  </si>
  <si>
    <t xml:space="preserve">30 Days Campaign</t>
  </si>
  <si>
    <t xml:space="preserve">Location</t>
  </si>
  <si>
    <t xml:space="preserve">Objective</t>
  </si>
  <si>
    <t xml:space="preserve">Target Results</t>
  </si>
  <si>
    <t xml:space="preserve">CPR</t>
  </si>
  <si>
    <t xml:space="preserve">Budget</t>
  </si>
  <si>
    <t xml:space="preserve">Daily Budget</t>
  </si>
  <si>
    <t xml:space="preserve">UAE</t>
  </si>
  <si>
    <t xml:space="preserve">Profile Visits</t>
  </si>
  <si>
    <t xml:space="preserve">Engagement</t>
  </si>
  <si>
    <t xml:space="preserve">Lead Form</t>
  </si>
  <si>
    <t xml:space="preserve">CAMPAIGN SUMMARY &amp; EXPECTED RESULTS</t>
  </si>
  <si>
    <t xml:space="preserve">KPI</t>
  </si>
  <si>
    <t xml:space="preserve">Value</t>
  </si>
  <si>
    <t xml:space="preserve">Notes</t>
  </si>
  <si>
    <t xml:space="preserve">Total Budget</t>
  </si>
  <si>
    <t xml:space="preserve">Total Expected Profile Visits</t>
  </si>
  <si>
    <t xml:space="preserve">These are the number of the total visits for the IG and twitter as there is no guaranteed campaign that gives direct followers </t>
  </si>
  <si>
    <t xml:space="preserve">Total Expected Engagement</t>
  </si>
  <si>
    <t xml:space="preserve">These are the expected engagement through whole meta and twitter as for meta the manual placement will be removed so the placement will be over Facebook page and IG page, we recommend doing facebook page</t>
  </si>
  <si>
    <t xml:space="preserve">Total Expected Lead Forms</t>
  </si>
  <si>
    <t xml:space="preserve">We will create a lead form campaign to get information for the people to send them the magazine directly after they submitted our lead form campaign</t>
  </si>
  <si>
    <t xml:space="preserve">All amounts in USD.  CPR = Cost Per Result.  Target results are estimates based on platform benchmarks and are not guaranteed.</t>
  </si>
</sst>
</file>

<file path=xl/styles.xml><?xml version="1.0" encoding="utf-8"?>
<styleSheet xmlns="http://schemas.openxmlformats.org/spreadsheetml/2006/main">
  <numFmts count="4">
    <numFmt numFmtId="164" formatCode="General"/>
    <numFmt numFmtId="165" formatCode="&quot;Budget Share: &quot;0%"/>
    <numFmt numFmtId="166" formatCode="#,##0"/>
    <numFmt numFmtId="167" formatCode="[$$]#,##0.00"/>
  </numFmts>
  <fonts count="16">
    <font>
      <sz val="11"/>
      <color theme="1"/>
      <name val="Calibri"/>
      <family val="2"/>
      <charset val="1"/>
    </font>
    <font>
      <sz val="10"/>
      <name val="Arial"/>
      <family val="0"/>
    </font>
    <font>
      <sz val="10"/>
      <name val="Arial"/>
      <family val="0"/>
    </font>
    <font>
      <sz val="10"/>
      <name val="Arial"/>
      <family val="0"/>
    </font>
    <font>
      <b val="true"/>
      <sz val="20"/>
      <color rgb="FFFFFFFF"/>
      <name val="Arial"/>
      <family val="0"/>
      <charset val="1"/>
    </font>
    <font>
      <sz val="10"/>
      <color rgb="FFD9DFEA"/>
      <name val="Arial"/>
      <family val="0"/>
      <charset val="1"/>
    </font>
    <font>
      <b val="true"/>
      <sz val="11"/>
      <color rgb="FFFFFFFF"/>
      <name val="Arial"/>
      <family val="0"/>
      <charset val="1"/>
    </font>
    <font>
      <b val="true"/>
      <sz val="9"/>
      <color rgb="FFFFFFFF"/>
      <name val="Arial"/>
      <family val="0"/>
      <charset val="1"/>
    </font>
    <font>
      <b val="true"/>
      <sz val="11"/>
      <color rgb="FF1B2A4A"/>
      <name val="Arial"/>
      <family val="0"/>
      <charset val="1"/>
    </font>
    <font>
      <b val="true"/>
      <sz val="10"/>
      <color rgb="FF1B2A4A"/>
      <name val="Arial"/>
      <family val="0"/>
      <charset val="1"/>
    </font>
    <font>
      <sz val="10"/>
      <color rgb="FF222222"/>
      <name val="Arial"/>
      <family val="0"/>
      <charset val="1"/>
    </font>
    <font>
      <b val="true"/>
      <sz val="12"/>
      <color rgb="FFFFFFFF"/>
      <name val="Arial"/>
      <family val="0"/>
      <charset val="1"/>
    </font>
    <font>
      <b val="true"/>
      <sz val="12"/>
      <color rgb="FF1E7B4A"/>
      <name val="Arial"/>
      <family val="0"/>
      <charset val="1"/>
    </font>
    <font>
      <sz val="9"/>
      <color rgb="FF3A3A3A"/>
      <name val="Arial"/>
      <family val="0"/>
      <charset val="1"/>
    </font>
    <font>
      <b val="true"/>
      <sz val="12"/>
      <color rgb="FF1B2A4A"/>
      <name val="Arial"/>
      <family val="0"/>
      <charset val="1"/>
    </font>
    <font>
      <i val="true"/>
      <sz val="8"/>
      <color rgb="FF7A8599"/>
      <name val="Arial"/>
      <family val="0"/>
      <charset val="1"/>
    </font>
  </fonts>
  <fills count="12">
    <fill>
      <patternFill patternType="none"/>
    </fill>
    <fill>
      <patternFill patternType="gray125"/>
    </fill>
    <fill>
      <patternFill patternType="solid">
        <fgColor rgb="FF1B2A4A"/>
        <bgColor rgb="FF222222"/>
      </patternFill>
    </fill>
    <fill>
      <patternFill patternType="solid">
        <fgColor rgb="FFC9A227"/>
        <bgColor rgb="FF99CC00"/>
      </patternFill>
    </fill>
    <fill>
      <patternFill patternType="solid">
        <fgColor rgb="FF8A3AB9"/>
        <bgColor rgb="FFA45CCB"/>
      </patternFill>
    </fill>
    <fill>
      <patternFill patternType="solid">
        <fgColor rgb="FF0F1419"/>
        <bgColor rgb="FF222222"/>
      </patternFill>
    </fill>
    <fill>
      <patternFill patternType="solid">
        <fgColor rgb="FF2E4470"/>
        <bgColor rgb="FF3A4148"/>
      </patternFill>
    </fill>
    <fill>
      <patternFill patternType="solid">
        <fgColor rgb="FFA45CCB"/>
        <bgColor rgb="FF8A3AB9"/>
      </patternFill>
    </fill>
    <fill>
      <patternFill patternType="solid">
        <fgColor rgb="FF3A4148"/>
        <bgColor rgb="FF3A3A3A"/>
      </patternFill>
    </fill>
    <fill>
      <patternFill patternType="solid">
        <fgColor rgb="FFF4F6FA"/>
        <bgColor rgb="FFFFFFFF"/>
      </patternFill>
    </fill>
    <fill>
      <patternFill patternType="solid">
        <fgColor rgb="FFFFFFFF"/>
        <bgColor rgb="FFF4F6FA"/>
      </patternFill>
    </fill>
    <fill>
      <patternFill patternType="solid">
        <fgColor rgb="FFD5DCE8"/>
        <bgColor rgb="FFD9DFEA"/>
      </patternFill>
    </fill>
  </fills>
  <borders count="3">
    <border diagonalUp="false" diagonalDown="false">
      <left/>
      <right/>
      <top/>
      <bottom/>
      <diagonal/>
    </border>
    <border diagonalUp="false" diagonalDown="false">
      <left style="thin">
        <color rgb="FFC8D0DE"/>
      </left>
      <right style="thin">
        <color rgb="FFC8D0DE"/>
      </right>
      <top style="thin">
        <color rgb="FFC8D0DE"/>
      </top>
      <bottom style="thin">
        <color rgb="FFC8D0DE"/>
      </bottom>
      <diagonal/>
    </border>
    <border diagonalUp="false" diagonalDown="false">
      <left style="thin">
        <color rgb="FFC8D0DE"/>
      </left>
      <right style="thin">
        <color rgb="FFC8D0DE"/>
      </right>
      <top style="medium">
        <color rgb="FF1B2A4A"/>
      </top>
      <bottom style="medium">
        <color rgb="FF1B2A4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true" indent="1" shrinkToFit="false"/>
      <protection locked="true" hidden="false"/>
    </xf>
    <xf numFmtId="164" fontId="5" fillId="2" borderId="0" xfId="0" applyFont="true" applyBorder="true" applyAlignment="true" applyProtection="false">
      <alignment horizontal="left" vertical="center" textRotation="0" wrapText="true" indent="1" shrinkToFit="false"/>
      <protection locked="true" hidden="false"/>
    </xf>
    <xf numFmtId="164" fontId="0" fillId="3" borderId="0" xfId="0" applyFont="false" applyBorder="tru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6" fillId="4" borderId="1" xfId="0" applyFont="true" applyBorder="true" applyAlignment="true" applyProtection="false">
      <alignment horizontal="center" vertical="center" textRotation="0" wrapText="true" indent="0" shrinkToFit="false"/>
      <protection locked="true" hidden="false"/>
    </xf>
    <xf numFmtId="164" fontId="6" fillId="5" borderId="1" xfId="0" applyFont="true" applyBorder="true" applyAlignment="true" applyProtection="false">
      <alignment horizontal="center" vertical="center" textRotation="0" wrapText="tru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5" fontId="7" fillId="4" borderId="1" xfId="0" applyFont="true" applyBorder="true" applyAlignment="true" applyProtection="false">
      <alignment horizontal="center" vertical="center" textRotation="0" wrapText="true" indent="0" shrinkToFit="false"/>
      <protection locked="true" hidden="false"/>
    </xf>
    <xf numFmtId="165" fontId="7" fillId="5" borderId="1" xfId="0" applyFont="true" applyBorder="true" applyAlignment="true" applyProtection="false">
      <alignment horizontal="center" vertical="center" textRotation="0" wrapText="true" indent="0" shrinkToFit="false"/>
      <protection locked="true" hidden="false"/>
    </xf>
    <xf numFmtId="164" fontId="7" fillId="6" borderId="1" xfId="0" applyFont="true" applyBorder="true" applyAlignment="true" applyProtection="false">
      <alignment horizontal="center" vertical="center" textRotation="0" wrapText="true" indent="0" shrinkToFit="false"/>
      <protection locked="true" hidden="false"/>
    </xf>
    <xf numFmtId="164" fontId="7" fillId="7" borderId="1" xfId="0" applyFont="true" applyBorder="true" applyAlignment="true" applyProtection="false">
      <alignment horizontal="center" vertical="center" textRotation="0" wrapText="true" indent="0" shrinkToFit="false"/>
      <protection locked="true" hidden="false"/>
    </xf>
    <xf numFmtId="164" fontId="7" fillId="8" borderId="1" xfId="0" applyFont="true" applyBorder="true" applyAlignment="true" applyProtection="false">
      <alignment horizontal="center" vertical="center" textRotation="0" wrapText="true" indent="0" shrinkToFit="false"/>
      <protection locked="true" hidden="false"/>
    </xf>
    <xf numFmtId="166" fontId="8" fillId="9" borderId="1" xfId="0" applyFont="true" applyBorder="true" applyAlignment="true" applyProtection="false">
      <alignment horizontal="center" vertical="center" textRotation="0" wrapText="true" indent="0" shrinkToFit="false"/>
      <protection locked="true" hidden="false"/>
    </xf>
    <xf numFmtId="166" fontId="9" fillId="9" borderId="1" xfId="0" applyFont="true" applyBorder="true" applyAlignment="true" applyProtection="false">
      <alignment horizontal="left" vertical="center" textRotation="0" wrapText="true" indent="1" shrinkToFit="false"/>
      <protection locked="true" hidden="false"/>
    </xf>
    <xf numFmtId="166" fontId="10" fillId="9" borderId="1" xfId="0" applyFont="true" applyBorder="true" applyAlignment="true" applyProtection="false">
      <alignment horizontal="center" vertical="center" textRotation="0" wrapText="true" indent="0" shrinkToFit="false"/>
      <protection locked="true" hidden="false"/>
    </xf>
    <xf numFmtId="167" fontId="10" fillId="9" borderId="1" xfId="0" applyFont="true" applyBorder="true" applyAlignment="true" applyProtection="false">
      <alignment horizontal="center" vertical="center" textRotation="0" wrapText="true" indent="0" shrinkToFit="false"/>
      <protection locked="true" hidden="false"/>
    </xf>
    <xf numFmtId="166" fontId="9" fillId="10" borderId="1" xfId="0" applyFont="true" applyBorder="true" applyAlignment="true" applyProtection="false">
      <alignment horizontal="left" vertical="center" textRotation="0" wrapText="true" indent="1" shrinkToFit="false"/>
      <protection locked="true" hidden="false"/>
    </xf>
    <xf numFmtId="166" fontId="10" fillId="10" borderId="1" xfId="0" applyFont="true" applyBorder="true" applyAlignment="true" applyProtection="false">
      <alignment horizontal="center" vertical="center" textRotation="0" wrapText="true" indent="0" shrinkToFit="false"/>
      <protection locked="true" hidden="false"/>
    </xf>
    <xf numFmtId="167" fontId="10" fillId="10" borderId="1" xfId="0" applyFont="true" applyBorder="true" applyAlignment="true" applyProtection="false">
      <alignment horizontal="center" vertical="center" textRotation="0" wrapText="true" indent="0" shrinkToFit="false"/>
      <protection locked="true" hidden="false"/>
    </xf>
    <xf numFmtId="164" fontId="9" fillId="11" borderId="2" xfId="0" applyFont="true" applyBorder="true" applyAlignment="true" applyProtection="false">
      <alignment horizontal="center" vertical="center" textRotation="0" wrapText="true" indent="0" shrinkToFit="false"/>
      <protection locked="true" hidden="false"/>
    </xf>
    <xf numFmtId="166" fontId="9" fillId="11" borderId="2" xfId="0" applyFont="true" applyBorder="true" applyAlignment="true" applyProtection="false">
      <alignment horizontal="center" vertical="center" textRotation="0" wrapText="true" indent="0" shrinkToFit="false"/>
      <protection locked="true" hidden="false"/>
    </xf>
    <xf numFmtId="167" fontId="9" fillId="11" borderId="2" xfId="0" applyFont="true" applyBorder="true" applyAlignment="true" applyProtection="false">
      <alignment horizontal="center" vertical="center" textRotation="0" wrapText="true" indent="0" shrinkToFit="false"/>
      <protection locked="true" hidden="false"/>
    </xf>
    <xf numFmtId="164" fontId="11" fillId="2" borderId="0" xfId="0" applyFont="true" applyBorder="true" applyAlignment="true" applyProtection="false">
      <alignment horizontal="left" vertical="center" textRotation="0" wrapText="true" indent="1" shrinkToFit="false"/>
      <protection locked="true" hidden="false"/>
    </xf>
    <xf numFmtId="164" fontId="9" fillId="9" borderId="1" xfId="0" applyFont="true" applyBorder="true" applyAlignment="true" applyProtection="false">
      <alignment horizontal="left" vertical="center" textRotation="0" wrapText="true" indent="1" shrinkToFit="false"/>
      <protection locked="true" hidden="false"/>
    </xf>
    <xf numFmtId="167" fontId="12" fillId="9" borderId="1" xfId="0" applyFont="true" applyBorder="true" applyAlignment="true" applyProtection="false">
      <alignment horizontal="center" vertical="center" textRotation="0" wrapText="true" indent="0" shrinkToFit="false"/>
      <protection locked="true" hidden="false"/>
    </xf>
    <xf numFmtId="164" fontId="13" fillId="9" borderId="1" xfId="0" applyFont="true" applyBorder="true" applyAlignment="true" applyProtection="false">
      <alignment horizontal="left" vertical="center" textRotation="0" wrapText="true" indent="1" shrinkToFit="false"/>
      <protection locked="true" hidden="false"/>
    </xf>
    <xf numFmtId="164" fontId="9" fillId="10" borderId="1" xfId="0" applyFont="true" applyBorder="true" applyAlignment="true" applyProtection="false">
      <alignment horizontal="left" vertical="center" textRotation="0" wrapText="true" indent="1" shrinkToFit="false"/>
      <protection locked="true" hidden="false"/>
    </xf>
    <xf numFmtId="166" fontId="14" fillId="10" borderId="1" xfId="0" applyFont="true" applyBorder="true" applyAlignment="true" applyProtection="false">
      <alignment horizontal="center" vertical="center" textRotation="0" wrapText="true" indent="0" shrinkToFit="false"/>
      <protection locked="true" hidden="false"/>
    </xf>
    <xf numFmtId="164" fontId="13" fillId="10" borderId="1" xfId="0" applyFont="true" applyBorder="true" applyAlignment="true" applyProtection="false">
      <alignment horizontal="left" vertical="center" textRotation="0" wrapText="true" indent="1" shrinkToFit="false"/>
      <protection locked="true" hidden="false"/>
    </xf>
    <xf numFmtId="166" fontId="14" fillId="9" borderId="1" xfId="0" applyFont="true" applyBorder="true" applyAlignment="true" applyProtection="false">
      <alignment horizontal="center" vertical="center" textRotation="0" wrapText="true" indent="0" shrinkToFit="false"/>
      <protection locked="true" hidden="false"/>
    </xf>
    <xf numFmtId="164" fontId="15" fillId="0" borderId="0" xfId="0" applyFont="true" applyBorder="true" applyAlignment="true" applyProtection="false">
      <alignment horizontal="lef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1E7B4A"/>
      <rgbColor rgb="FFD5DCE8"/>
      <rgbColor rgb="FF7A8599"/>
      <rgbColor rgb="FF9999FF"/>
      <rgbColor rgb="FF8A3AB9"/>
      <rgbColor rgb="FFF4F6FA"/>
      <rgbColor rgb="FFD9DFEA"/>
      <rgbColor rgb="FF660066"/>
      <rgbColor rgb="FFFF8080"/>
      <rgbColor rgb="FF0066CC"/>
      <rgbColor rgb="FFC8D0D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C9A227"/>
      <rgbColor rgb="FFFF6600"/>
      <rgbColor rgb="FFA45CCB"/>
      <rgbColor rgb="FF969696"/>
      <rgbColor rgb="FF1B2A4A"/>
      <rgbColor rgb="FF339966"/>
      <rgbColor rgb="FF0F1419"/>
      <rgbColor rgb="FF222222"/>
      <rgbColor rgb="FF993300"/>
      <rgbColor rgb="FF3A4148"/>
      <rgbColor rgb="FF2E4470"/>
      <rgbColor rgb="FF3A3A3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O2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3" ySplit="7" topLeftCell="D8" activePane="bottomRight" state="frozen"/>
      <selection pane="topLeft" activeCell="A1" activeCellId="0" sqref="A1"/>
      <selection pane="topRight" activeCell="D1" activeCellId="0" sqref="D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13"/>
    <col collapsed="false" customWidth="true" hidden="false" outlineLevel="0" max="3" min="3" style="0" width="18"/>
    <col collapsed="false" customWidth="true" hidden="false" outlineLevel="0" max="4" min="4" style="0" width="15"/>
    <col collapsed="false" customWidth="true" hidden="false" outlineLevel="0" max="5" min="5" style="0" width="11"/>
    <col collapsed="false" customWidth="true" hidden="false" outlineLevel="0" max="6" min="6" style="0" width="15"/>
    <col collapsed="false" customWidth="true" hidden="false" outlineLevel="0" max="7" min="7" style="0" width="14"/>
    <col collapsed="false" customWidth="true" hidden="false" outlineLevel="0" max="8" min="8" style="0" width="15"/>
    <col collapsed="false" customWidth="true" hidden="false" outlineLevel="0" max="9" min="9" style="0" width="11"/>
    <col collapsed="false" customWidth="true" hidden="false" outlineLevel="0" max="10" min="10" style="0" width="15"/>
    <col collapsed="false" customWidth="true" hidden="false" outlineLevel="0" max="11" min="11" style="0" width="14"/>
    <col collapsed="false" customWidth="true" hidden="false" outlineLevel="0" max="12" min="12" style="0" width="15"/>
    <col collapsed="false" customWidth="true" hidden="false" outlineLevel="0" max="13" min="13" style="0" width="11"/>
    <col collapsed="false" customWidth="true" hidden="false" outlineLevel="0" max="14" min="14" style="0" width="15"/>
    <col collapsed="false" customWidth="true" hidden="false" outlineLevel="0" max="15" min="15" style="0" width="14"/>
    <col collapsed="false" customWidth="true" hidden="false" outlineLevel="0" max="16" min="16" style="0" width="2"/>
  </cols>
  <sheetData>
    <row r="1" customFormat="false" ht="7.5" hidden="false" customHeight="true" outlineLevel="0" collapsed="false"/>
    <row r="2" customFormat="false" ht="37.5" hidden="false" customHeight="true" outlineLevel="0" collapsed="false">
      <c r="B2" s="1" t="s">
        <v>0</v>
      </c>
      <c r="C2" s="1"/>
      <c r="D2" s="1"/>
      <c r="E2" s="1"/>
      <c r="F2" s="1"/>
      <c r="G2" s="1"/>
      <c r="H2" s="1"/>
      <c r="I2" s="1"/>
      <c r="J2" s="1"/>
      <c r="K2" s="1"/>
      <c r="L2" s="1"/>
      <c r="M2" s="1"/>
      <c r="N2" s="1"/>
      <c r="O2" s="1"/>
    </row>
    <row r="3" customFormat="false" ht="21.75" hidden="false" customHeight="true" outlineLevel="0" collapsed="false">
      <c r="B3" s="2" t="s">
        <v>1</v>
      </c>
      <c r="C3" s="2"/>
      <c r="D3" s="2"/>
      <c r="E3" s="2"/>
      <c r="F3" s="2"/>
      <c r="G3" s="2"/>
      <c r="H3" s="2"/>
      <c r="I3" s="2"/>
      <c r="J3" s="2"/>
      <c r="K3" s="2"/>
      <c r="L3" s="2"/>
      <c r="M3" s="2"/>
      <c r="N3" s="2"/>
      <c r="O3" s="2"/>
    </row>
    <row r="4" customFormat="false" ht="3.75" hidden="false" customHeight="true" outlineLevel="0" collapsed="false">
      <c r="B4" s="3"/>
      <c r="C4" s="3"/>
      <c r="D4" s="3"/>
      <c r="E4" s="3"/>
      <c r="F4" s="3"/>
      <c r="G4" s="3"/>
      <c r="H4" s="3"/>
      <c r="I4" s="3"/>
      <c r="J4" s="3"/>
      <c r="K4" s="3"/>
      <c r="L4" s="3"/>
      <c r="M4" s="3"/>
      <c r="N4" s="3"/>
      <c r="O4" s="3"/>
    </row>
    <row r="5" customFormat="false" ht="25.5" hidden="false" customHeight="true" outlineLevel="0" collapsed="false">
      <c r="B5" s="4" t="s">
        <v>2</v>
      </c>
      <c r="C5" s="4"/>
      <c r="D5" s="4" t="s">
        <v>3</v>
      </c>
      <c r="E5" s="4"/>
      <c r="F5" s="4"/>
      <c r="G5" s="4"/>
      <c r="H5" s="5" t="s">
        <v>4</v>
      </c>
      <c r="I5" s="5"/>
      <c r="J5" s="5"/>
      <c r="K5" s="5"/>
      <c r="L5" s="6" t="s">
        <v>5</v>
      </c>
      <c r="M5" s="6"/>
      <c r="N5" s="6"/>
      <c r="O5" s="6"/>
    </row>
    <row r="6" customFormat="false" ht="19.5" hidden="false" customHeight="true" outlineLevel="0" collapsed="false">
      <c r="B6" s="4"/>
      <c r="C6" s="4"/>
      <c r="D6" s="7" t="s">
        <v>6</v>
      </c>
      <c r="E6" s="7"/>
      <c r="F6" s="7"/>
      <c r="G6" s="7"/>
      <c r="H6" s="8" t="n">
        <f aca="false">0.5</f>
        <v>0.5</v>
      </c>
      <c r="I6" s="8"/>
      <c r="J6" s="8"/>
      <c r="K6" s="8"/>
      <c r="L6" s="9" t="n">
        <f aca="false">0.5</f>
        <v>0.5</v>
      </c>
      <c r="M6" s="9"/>
      <c r="N6" s="9"/>
      <c r="O6" s="9"/>
    </row>
    <row r="7" customFormat="false" ht="30" hidden="false" customHeight="true" outlineLevel="0" collapsed="false">
      <c r="B7" s="10" t="s">
        <v>7</v>
      </c>
      <c r="C7" s="10" t="s">
        <v>8</v>
      </c>
      <c r="D7" s="10" t="s">
        <v>9</v>
      </c>
      <c r="E7" s="10" t="s">
        <v>10</v>
      </c>
      <c r="F7" s="10" t="s">
        <v>11</v>
      </c>
      <c r="G7" s="10" t="s">
        <v>12</v>
      </c>
      <c r="H7" s="11" t="s">
        <v>9</v>
      </c>
      <c r="I7" s="11" t="s">
        <v>10</v>
      </c>
      <c r="J7" s="11" t="s">
        <v>11</v>
      </c>
      <c r="K7" s="11" t="s">
        <v>12</v>
      </c>
      <c r="L7" s="12" t="s">
        <v>9</v>
      </c>
      <c r="M7" s="12" t="s">
        <v>10</v>
      </c>
      <c r="N7" s="12" t="s">
        <v>11</v>
      </c>
      <c r="O7" s="12" t="s">
        <v>12</v>
      </c>
    </row>
    <row r="8" customFormat="false" ht="25.5" hidden="false" customHeight="true" outlineLevel="0" collapsed="false">
      <c r="B8" s="13" t="s">
        <v>13</v>
      </c>
      <c r="C8" s="14" t="s">
        <v>14</v>
      </c>
      <c r="D8" s="15" t="n">
        <f aca="false">H8+N8</f>
        <v>30277.7777777778</v>
      </c>
      <c r="E8" s="16" t="n">
        <f aca="false">I8</f>
        <v>0.09</v>
      </c>
      <c r="F8" s="16" t="n">
        <v>5000</v>
      </c>
      <c r="G8" s="16" t="n">
        <f aca="false">K8+O8</f>
        <v>166.666666666667</v>
      </c>
      <c r="H8" s="15" t="n">
        <f aca="false">J8/I8</f>
        <v>27777.7777777778</v>
      </c>
      <c r="I8" s="16" t="n">
        <v>0.09</v>
      </c>
      <c r="J8" s="16" t="n">
        <f aca="false">F8*50/100</f>
        <v>2500</v>
      </c>
      <c r="K8" s="16" t="n">
        <f aca="false">J8/30</f>
        <v>83.3333333333333</v>
      </c>
      <c r="L8" s="15" t="n">
        <f aca="false">N8/M8</f>
        <v>27777.7777777778</v>
      </c>
      <c r="M8" s="16" t="n">
        <v>0.09</v>
      </c>
      <c r="N8" s="16" t="n">
        <f aca="false">F8*50/100</f>
        <v>2500</v>
      </c>
      <c r="O8" s="16" t="n">
        <f aca="false">N8/30</f>
        <v>83.3333333333333</v>
      </c>
    </row>
    <row r="9" customFormat="false" ht="25.5" hidden="false" customHeight="true" outlineLevel="0" collapsed="false">
      <c r="B9" s="13"/>
      <c r="C9" s="17" t="s">
        <v>15</v>
      </c>
      <c r="D9" s="18" t="n">
        <f aca="false">H9+L9</f>
        <v>55555.5555555556</v>
      </c>
      <c r="E9" s="19" t="n">
        <f aca="false">I9</f>
        <v>0.09</v>
      </c>
      <c r="F9" s="19" t="n">
        <v>5000</v>
      </c>
      <c r="G9" s="19" t="n">
        <f aca="false">K9+O9</f>
        <v>166.666666666667</v>
      </c>
      <c r="H9" s="18" t="n">
        <f aca="false">J9/I9</f>
        <v>27777.7777777778</v>
      </c>
      <c r="I9" s="19" t="n">
        <v>0.09</v>
      </c>
      <c r="J9" s="19" t="n">
        <f aca="false">F9*50/100</f>
        <v>2500</v>
      </c>
      <c r="K9" s="19" t="n">
        <f aca="false">J9/30</f>
        <v>83.3333333333333</v>
      </c>
      <c r="L9" s="18" t="n">
        <f aca="false">N9/M9</f>
        <v>27777.7777777778</v>
      </c>
      <c r="M9" s="19" t="n">
        <v>0.09</v>
      </c>
      <c r="N9" s="19" t="n">
        <f aca="false">F9*50/100</f>
        <v>2500</v>
      </c>
      <c r="O9" s="19" t="n">
        <f aca="false">N9/30</f>
        <v>83.3333333333333</v>
      </c>
    </row>
    <row r="10" customFormat="false" ht="25.5" hidden="false" customHeight="true" outlineLevel="0" collapsed="false">
      <c r="B10" s="13"/>
      <c r="C10" s="14" t="s">
        <v>16</v>
      </c>
      <c r="D10" s="15" t="n">
        <f aca="false">H10+L10</f>
        <v>982.142857142857</v>
      </c>
      <c r="E10" s="16" t="n">
        <f aca="false">I10</f>
        <v>4</v>
      </c>
      <c r="F10" s="16" t="n">
        <v>5000</v>
      </c>
      <c r="G10" s="16" t="n">
        <f aca="false">K10+O10</f>
        <v>166.666666666667</v>
      </c>
      <c r="H10" s="15" t="n">
        <f aca="false">J10/I10</f>
        <v>625</v>
      </c>
      <c r="I10" s="16" t="n">
        <v>4</v>
      </c>
      <c r="J10" s="16" t="n">
        <f aca="false">F10*50/100</f>
        <v>2500</v>
      </c>
      <c r="K10" s="16" t="n">
        <f aca="false">J10/30</f>
        <v>83.3333333333333</v>
      </c>
      <c r="L10" s="15" t="n">
        <f aca="false">N10/M10</f>
        <v>357.142857142857</v>
      </c>
      <c r="M10" s="16" t="n">
        <v>7</v>
      </c>
      <c r="N10" s="16" t="n">
        <f aca="false">F10*50/100</f>
        <v>2500</v>
      </c>
      <c r="O10" s="16" t="n">
        <f aca="false">N10/30</f>
        <v>83.3333333333333</v>
      </c>
    </row>
    <row r="11" customFormat="false" ht="25.5" hidden="false" customHeight="true" outlineLevel="0" collapsed="false">
      <c r="B11" s="20" t="s">
        <v>3</v>
      </c>
      <c r="C11" s="20"/>
      <c r="D11" s="21"/>
      <c r="E11" s="21"/>
      <c r="F11" s="22" t="n">
        <f aca="false">SUM(F8:F10)</f>
        <v>15000</v>
      </c>
      <c r="G11" s="22" t="n">
        <f aca="false">SUM(G8:G10)</f>
        <v>500</v>
      </c>
      <c r="H11" s="22"/>
      <c r="I11" s="22"/>
      <c r="J11" s="22" t="n">
        <f aca="false">SUM(J8:J10)</f>
        <v>7500</v>
      </c>
      <c r="K11" s="22" t="n">
        <f aca="false">SUM(K8:K10)</f>
        <v>250</v>
      </c>
      <c r="L11" s="22"/>
      <c r="M11" s="22"/>
      <c r="N11" s="22" t="n">
        <f aca="false">SUM(N8:N10)</f>
        <v>7500</v>
      </c>
      <c r="O11" s="22" t="n">
        <f aca="false">SUM(O8:O10)</f>
        <v>250</v>
      </c>
    </row>
    <row r="12" customFormat="false" ht="13.5" hidden="false" customHeight="true" outlineLevel="0" collapsed="false"/>
    <row r="13" customFormat="false" ht="27.75" hidden="false" customHeight="true" outlineLevel="0" collapsed="false">
      <c r="B13" s="23" t="s">
        <v>17</v>
      </c>
      <c r="C13" s="23"/>
      <c r="D13" s="23"/>
      <c r="E13" s="23"/>
      <c r="F13" s="23"/>
      <c r="G13" s="23"/>
      <c r="H13" s="23"/>
      <c r="I13" s="23"/>
      <c r="J13" s="23"/>
      <c r="K13" s="23"/>
      <c r="L13" s="23"/>
      <c r="M13" s="23"/>
      <c r="N13" s="23"/>
      <c r="O13" s="23"/>
    </row>
    <row r="14" customFormat="false" ht="3" hidden="false" customHeight="true" outlineLevel="0" collapsed="false">
      <c r="B14" s="3"/>
      <c r="C14" s="3"/>
      <c r="D14" s="3"/>
      <c r="E14" s="3"/>
      <c r="F14" s="3"/>
      <c r="G14" s="3"/>
      <c r="H14" s="3"/>
      <c r="I14" s="3"/>
      <c r="J14" s="3"/>
      <c r="K14" s="3"/>
      <c r="L14" s="3"/>
      <c r="M14" s="3"/>
      <c r="N14" s="3"/>
      <c r="O14" s="3"/>
    </row>
    <row r="15" customFormat="false" ht="21.75" hidden="false" customHeight="true" outlineLevel="0" collapsed="false">
      <c r="B15" s="10" t="s">
        <v>18</v>
      </c>
      <c r="C15" s="10"/>
      <c r="D15" s="10"/>
      <c r="E15" s="10" t="s">
        <v>19</v>
      </c>
      <c r="F15" s="10"/>
      <c r="G15" s="10" t="s">
        <v>20</v>
      </c>
      <c r="H15" s="10"/>
      <c r="I15" s="10"/>
      <c r="J15" s="10"/>
      <c r="K15" s="10"/>
      <c r="L15" s="10"/>
      <c r="M15" s="10"/>
      <c r="N15" s="10"/>
      <c r="O15" s="10"/>
    </row>
    <row r="16" customFormat="false" ht="48" hidden="false" customHeight="true" outlineLevel="0" collapsed="false">
      <c r="B16" s="24" t="s">
        <v>21</v>
      </c>
      <c r="C16" s="24"/>
      <c r="D16" s="24"/>
      <c r="E16" s="25" t="n">
        <f aca="false">F11</f>
        <v>15000</v>
      </c>
      <c r="F16" s="25"/>
      <c r="G16" s="26"/>
      <c r="H16" s="26"/>
      <c r="I16" s="26"/>
      <c r="J16" s="26"/>
      <c r="K16" s="26"/>
      <c r="L16" s="26"/>
      <c r="M16" s="26"/>
      <c r="N16" s="26"/>
      <c r="O16" s="26"/>
    </row>
    <row r="17" customFormat="false" ht="48" hidden="false" customHeight="true" outlineLevel="0" collapsed="false">
      <c r="B17" s="27" t="s">
        <v>22</v>
      </c>
      <c r="C17" s="27"/>
      <c r="D17" s="27"/>
      <c r="E17" s="28" t="n">
        <f aca="false">D8</f>
        <v>30277.7777777778</v>
      </c>
      <c r="F17" s="28"/>
      <c r="G17" s="29" t="s">
        <v>23</v>
      </c>
      <c r="H17" s="29"/>
      <c r="I17" s="29"/>
      <c r="J17" s="29"/>
      <c r="K17" s="29"/>
      <c r="L17" s="29"/>
      <c r="M17" s="29"/>
      <c r="N17" s="29"/>
      <c r="O17" s="29"/>
    </row>
    <row r="18" customFormat="false" ht="48" hidden="false" customHeight="true" outlineLevel="0" collapsed="false">
      <c r="B18" s="24" t="s">
        <v>24</v>
      </c>
      <c r="C18" s="24"/>
      <c r="D18" s="24"/>
      <c r="E18" s="30" t="n">
        <f aca="false">D9</f>
        <v>55555.5555555556</v>
      </c>
      <c r="F18" s="30"/>
      <c r="G18" s="26" t="s">
        <v>25</v>
      </c>
      <c r="H18" s="26"/>
      <c r="I18" s="26"/>
      <c r="J18" s="26"/>
      <c r="K18" s="26"/>
      <c r="L18" s="26"/>
      <c r="M18" s="26"/>
      <c r="N18" s="26"/>
      <c r="O18" s="26"/>
    </row>
    <row r="19" customFormat="false" ht="48" hidden="false" customHeight="true" outlineLevel="0" collapsed="false">
      <c r="B19" s="27" t="s">
        <v>26</v>
      </c>
      <c r="C19" s="27"/>
      <c r="D19" s="27"/>
      <c r="E19" s="28" t="n">
        <f aca="false">D10</f>
        <v>982.142857142857</v>
      </c>
      <c r="F19" s="28"/>
      <c r="G19" s="29" t="s">
        <v>27</v>
      </c>
      <c r="H19" s="29"/>
      <c r="I19" s="29"/>
      <c r="J19" s="29"/>
      <c r="K19" s="29"/>
      <c r="L19" s="29"/>
      <c r="M19" s="29"/>
      <c r="N19" s="29"/>
      <c r="O19" s="29"/>
    </row>
    <row r="21" customFormat="false" ht="19.5" hidden="false" customHeight="true" outlineLevel="0" collapsed="false">
      <c r="B21" s="31" t="s">
        <v>28</v>
      </c>
      <c r="C21" s="31"/>
      <c r="D21" s="31"/>
      <c r="E21" s="31"/>
      <c r="F21" s="31"/>
      <c r="G21" s="31"/>
      <c r="H21" s="31"/>
      <c r="I21" s="31"/>
      <c r="J21" s="31"/>
      <c r="K21" s="31"/>
      <c r="L21" s="31"/>
      <c r="M21" s="31"/>
      <c r="N21" s="31"/>
      <c r="O21" s="31"/>
    </row>
  </sheetData>
  <mergeCells count="30">
    <mergeCell ref="B2:O2"/>
    <mergeCell ref="B3:O3"/>
    <mergeCell ref="B4:O4"/>
    <mergeCell ref="B5:C6"/>
    <mergeCell ref="D5:G5"/>
    <mergeCell ref="H5:K5"/>
    <mergeCell ref="L5:O5"/>
    <mergeCell ref="D6:G6"/>
    <mergeCell ref="H6:K6"/>
    <mergeCell ref="L6:O6"/>
    <mergeCell ref="B8:B10"/>
    <mergeCell ref="B11:C11"/>
    <mergeCell ref="B13:O13"/>
    <mergeCell ref="B14:O14"/>
    <mergeCell ref="B15:D15"/>
    <mergeCell ref="E15:F15"/>
    <mergeCell ref="G15:O15"/>
    <mergeCell ref="B16:D16"/>
    <mergeCell ref="E16:F16"/>
    <mergeCell ref="G16:O16"/>
    <mergeCell ref="B17:D17"/>
    <mergeCell ref="E17:F17"/>
    <mergeCell ref="G17:O17"/>
    <mergeCell ref="B18:D18"/>
    <mergeCell ref="E18:F18"/>
    <mergeCell ref="G18:O18"/>
    <mergeCell ref="B19:D19"/>
    <mergeCell ref="E19:F19"/>
    <mergeCell ref="G19:O19"/>
    <mergeCell ref="B21:O21"/>
  </mergeCells>
  <printOptions headings="false" gridLines="false" gridLinesSet="true" horizontalCentered="true" verticalCentered="false"/>
  <pageMargins left="0.4" right="0.4" top="1" bottom="1" header="0.511811023622047" footer="0.5"/>
  <pageSetup paperSize="9" scale="100" fitToWidth="1" fitToHeight="1" pageOrder="downThenOver" orientation="landscape" blackAndWhite="false" draft="false" cellComments="none" horizontalDpi="300" verticalDpi="300" copies="1"/>
  <headerFooter differentFirst="false" differentOddEven="false">
    <oddHeader/>
    <oddFooter>&amp;CMedia Plan — Foresight by Tawazun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2026-10-05T20:18:28Z</dcterms:created>
  <dc:creator>openpyxl</dc:creator>
  <dc:description/>
  <dc:language>en-US</dc:language>
  <cp:lastModifiedBy/>
  <dcterms:modified xsi:type="dcterms:W3CDTF">2026-10-05T20:18:28Z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