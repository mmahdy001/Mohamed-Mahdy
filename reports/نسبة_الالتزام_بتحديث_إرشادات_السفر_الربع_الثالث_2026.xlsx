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الملخص" sheetId="1" state="visible" r:id="rId1"/>
    <sheet name="سجل التحديثات" sheetId="2" state="visible" r:id="rId2"/>
    <sheet name="الالتزام حسب الدولة" sheetId="3" state="visible" r:id="rId3"/>
  </sheets>
  <definedNames>
    <definedName name="_xlnm._FilterDatabase" localSheetId="1" hidden="1">'سجل التحديثات'!$A$4:$K$182</definedName>
  </definedNames>
  <calcPr calcId="124519" fullCalcOnLoad="1"/>
</workbook>
</file>

<file path=xl/styles.xml><?xml version="1.0" encoding="utf-8"?>
<styleSheet xmlns="http://schemas.openxmlformats.org/spreadsheetml/2006/main">
  <numFmts count="3">
    <numFmt numFmtId="164" formatCode="yyyy-mm-dd"/>
    <numFmt numFmtId="165" formatCode="dd-mm-yyyy"/>
    <numFmt numFmtId="166" formatCode="0.0%"/>
  </numFmts>
  <fonts count="14">
    <font>
      <name val="Calibri"/>
      <family val="2"/>
      <color theme="1"/>
      <sz val="11"/>
      <scheme val="minor"/>
    </font>
    <font>
      <name val="Arial"/>
      <b val="1"/>
      <color rgb="00FFFFFF"/>
      <sz val="15"/>
    </font>
    <font>
      <name val="Arial"/>
      <i val="1"/>
      <color rgb="001F3864"/>
      <sz val="11"/>
    </font>
    <font>
      <name val="Arial"/>
      <b val="1"/>
      <color rgb="00FFFFFF"/>
      <sz val="11"/>
    </font>
    <font>
      <name val="Arial"/>
      <sz val="10"/>
    </font>
    <font>
      <name val="Arial"/>
      <color rgb="000000FF"/>
      <sz val="10"/>
    </font>
    <font>
      <name val="Arial"/>
      <b val="1"/>
    </font>
    <font>
      <name val="Arial"/>
      <b val="1"/>
      <color rgb="000000FF"/>
    </font>
    <font>
      <name val="Arial"/>
      <i val="1"/>
      <color rgb="007F7F7F"/>
      <sz val="9"/>
    </font>
    <font>
      <name val="Arial"/>
      <b val="1"/>
      <color rgb="001F3864"/>
      <sz val="12"/>
    </font>
    <font>
      <name val="Arial"/>
      <b val="1"/>
      <sz val="12"/>
    </font>
    <font>
      <name val="Arial"/>
      <b val="1"/>
      <color rgb="00006100"/>
      <sz val="14"/>
    </font>
    <font>
      <name val="Arial"/>
    </font>
    <font>
      <name val="Arial"/>
      <sz val="9"/>
    </font>
  </fonts>
  <fills count="7">
    <fill>
      <patternFill/>
    </fill>
    <fill>
      <patternFill patternType="gray125"/>
    </fill>
    <fill>
      <patternFill patternType="solid">
        <fgColor rgb="001F3864"/>
      </patternFill>
    </fill>
    <fill>
      <patternFill patternType="solid">
        <fgColor rgb="00FFF2CC"/>
      </patternFill>
    </fill>
    <fill>
      <patternFill patternType="solid">
        <fgColor rgb="00EEF2F8"/>
      </patternFill>
    </fill>
    <fill>
      <patternFill patternType="solid">
        <fgColor rgb="00C6EFCE"/>
      </patternFill>
    </fill>
    <fill>
      <patternFill patternType="solid">
        <fgColor rgb="00D9E1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center" wrapText="1"/>
    </xf>
    <xf numFmtId="0" fontId="6" fillId="0" borderId="1" applyAlignment="1" pivotButton="0" quotePrefix="0" xfId="0">
      <alignment horizontal="right" vertical="center" wrapText="1"/>
    </xf>
    <xf numFmtId="0" fontId="7" fillId="3" borderId="1" applyAlignment="1" pivotButton="0" quotePrefix="0" xfId="0">
      <alignment horizontal="center" vertical="center" wrapText="1"/>
    </xf>
    <xf numFmtId="0" fontId="8" fillId="0" borderId="0" pivotButton="0" quotePrefix="0" xfId="0"/>
    <xf numFmtId="0" fontId="9" fillId="0" borderId="0" pivotButton="0" quotePrefix="0" xfId="0"/>
    <xf numFmtId="1" fontId="10" fillId="0" borderId="1" applyAlignment="1" pivotButton="0" quotePrefix="0" xfId="0">
      <alignment horizontal="center" vertical="center" wrapText="1"/>
    </xf>
    <xf numFmtId="166" fontId="11" fillId="5" borderId="1" applyAlignment="1" pivotButton="0" quotePrefix="0" xfId="0">
      <alignment horizontal="center" vertical="center" wrapText="1"/>
    </xf>
    <xf numFmtId="0" fontId="3" fillId="2" borderId="1" applyAlignment="1" pivotButton="0" quotePrefix="0" xfId="0">
      <alignment horizontal="center" vertical="center" wrapText="1"/>
    </xf>
    <xf numFmtId="0" fontId="12" fillId="0" borderId="1" applyAlignment="1" pivotButton="0" quotePrefix="0" xfId="0">
      <alignment horizontal="center" vertical="center" wrapText="1"/>
    </xf>
    <xf numFmtId="166" fontId="12" fillId="0" borderId="1" applyAlignment="1" pivotButton="0" quotePrefix="0" xfId="0">
      <alignment horizontal="center" vertical="center" wrapText="1"/>
    </xf>
    <xf numFmtId="0" fontId="6" fillId="4" borderId="1" applyAlignment="1" pivotButton="0" quotePrefix="0" xfId="0">
      <alignment horizontal="center" vertical="center" wrapText="1"/>
    </xf>
    <xf numFmtId="166" fontId="6" fillId="4" borderId="1" applyAlignment="1" pivotButton="0" quotePrefix="0" xfId="0">
      <alignment horizontal="center" vertical="center" wrapText="1"/>
    </xf>
    <xf numFmtId="0" fontId="13" fillId="0" borderId="0" applyAlignment="1" pivotButton="0" quotePrefix="0" xfId="0">
      <alignment horizontal="right" vertical="center" wrapText="1"/>
    </xf>
    <xf numFmtId="0" fontId="4" fillId="0" borderId="1" applyAlignment="1" pivotButton="0" quotePrefix="0" xfId="0">
      <alignment horizontal="center" vertical="center" wrapText="1"/>
    </xf>
    <xf numFmtId="0" fontId="4" fillId="0" borderId="1" applyAlignment="1" pivotButton="0" quotePrefix="0" xfId="0">
      <alignment horizontal="right" vertical="center" wrapText="1"/>
    </xf>
    <xf numFmtId="165" fontId="5" fillId="3" borderId="1" applyAlignment="1" pivotButton="0" quotePrefix="0" xfId="0">
      <alignment horizontal="center" vertical="center" wrapText="1"/>
    </xf>
    <xf numFmtId="165" fontId="4" fillId="0" borderId="1" applyAlignment="1" pivotButton="0" quotePrefix="0" xfId="0">
      <alignment horizontal="center" vertical="center" wrapText="1"/>
    </xf>
    <xf numFmtId="0" fontId="4" fillId="3" borderId="1" applyAlignment="1" pivotButton="0" quotePrefix="0" xfId="0">
      <alignment horizontal="right" vertical="center" wrapText="1"/>
    </xf>
    <xf numFmtId="0" fontId="4" fillId="4" borderId="1" applyAlignment="1" pivotButton="0" quotePrefix="0" xfId="0">
      <alignment horizontal="center" vertical="center" wrapText="1"/>
    </xf>
    <xf numFmtId="0" fontId="4" fillId="4" borderId="1" applyAlignment="1" pivotButton="0" quotePrefix="0" xfId="0">
      <alignment horizontal="right" vertical="center" wrapText="1"/>
    </xf>
    <xf numFmtId="165" fontId="4" fillId="4" borderId="1" applyAlignment="1" pivotButton="0" quotePrefix="0" xfId="0">
      <alignment horizontal="center" vertical="center" wrapText="1"/>
    </xf>
    <xf numFmtId="166" fontId="4" fillId="0" borderId="1" applyAlignment="1" pivotButton="0" quotePrefix="0" xfId="0">
      <alignment horizontal="center" vertical="center" wrapText="1"/>
    </xf>
    <xf numFmtId="166" fontId="4" fillId="4" borderId="1" applyAlignment="1" pivotButton="0" quotePrefix="0" xfId="0">
      <alignment horizontal="center" vertical="center" wrapText="1"/>
    </xf>
    <xf numFmtId="0" fontId="6" fillId="6" borderId="1" applyAlignment="1" pivotButton="0" quotePrefix="0" xfId="0">
      <alignment horizontal="center" vertical="center" wrapText="1"/>
    </xf>
    <xf numFmtId="166" fontId="6" fillId="6" borderId="1" applyAlignment="1" pivotButton="0" quotePrefix="0" xfId="0">
      <alignment horizontal="center" vertical="center" wrapText="1"/>
    </xf>
  </cellXfs>
  <cellStyles count="1">
    <cellStyle name="Normal" xfId="0" builtinId="0" hidden="0"/>
  </cellStyles>
  <dxfs count="3">
    <dxf>
      <font>
        <name val="Arial"/>
        <b val="1"/>
        <color rgb="00006100"/>
      </font>
      <fill>
        <patternFill patternType="solid">
          <fgColor rgb="00C6EFCE"/>
        </patternFill>
      </fill>
    </dxf>
    <dxf>
      <font>
        <name val="Arial"/>
        <b val="1"/>
        <color rgb="009C0006"/>
      </font>
      <fill>
        <patternFill patternType="solid">
          <fgColor rgb="00FFC7CE"/>
        </patternFill>
      </fill>
    </dxf>
    <dxf>
      <font>
        <name val="Arial"/>
        <color rgb="009C0006"/>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harts/chart1.xml><?xml version="1.0" encoding="utf-8"?>
<chartSpace xmlns:a="http://schemas.openxmlformats.org/drawingml/2006/main" xmlns="http://schemas.openxmlformats.org/drawingml/2006/chart">
  <chart>
    <title>
      <tx>
        <rich>
          <a:bodyPr/>
          <a:p>
            <a:pPr>
              <a:defRPr/>
            </a:pPr>
            <a:r>
              <a:t>التحديثات حسب الشهر والفئة</a:t>
            </a:r>
          </a:p>
        </rich>
      </tx>
    </title>
    <plotArea>
      <barChart>
        <barDir val="col"/>
        <grouping val="stacked"/>
        <ser>
          <idx val="0"/>
          <order val="0"/>
          <tx>
            <v>التنبيهات والتحذيرات</v>
          </tx>
          <spPr>
            <a:ln>
              <a:prstDash val="solid"/>
            </a:ln>
          </spPr>
          <cat>
            <numRef>
              <f>'الملخص'!$C$22:$E$22</f>
            </numRef>
          </cat>
          <val>
            <numRef>
              <f>'الملخص'!$C$23:$E$23</f>
            </numRef>
          </val>
        </ser>
        <ser>
          <idx val="1"/>
          <order val="1"/>
          <tx>
            <v>الإعفاءات من التأشيرة</v>
          </tx>
          <spPr>
            <a:ln>
              <a:prstDash val="solid"/>
            </a:ln>
          </spPr>
          <cat>
            <numRef>
              <f>'الملخص'!$C$22:$E$22</f>
            </numRef>
          </cat>
          <val>
            <numRef>
              <f>'الملخص'!$C$24:$E$24</f>
            </numRef>
          </val>
        </ser>
        <ser>
          <idx val="2"/>
          <order val="2"/>
          <tx>
            <v>إرشادات المسافر</v>
          </tx>
          <spPr>
            <a:ln>
              <a:prstDash val="solid"/>
            </a:ln>
          </spPr>
          <cat>
            <numRef>
              <f>'الملخص'!$C$22:$E$22</f>
            </numRef>
          </cat>
          <val>
            <numRef>
              <f>'الملخص'!$C$25:$E$25</f>
            </numRef>
          </val>
        </ser>
        <gapWidth val="150"/>
        <overlap val="10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omments/comment1.xml><?xml version="1.0" encoding="utf-8"?>
<comments xmlns="http://schemas.openxmlformats.org/spreadsheetml/2006/main">
  <authors>
    <author>Report</author>
  </authors>
  <commentList>
    <comment ref="G5" authorId="0" shapeId="0">
      <text>
        <t>أدخل تاريخ ورود المعلومة/طلب التحديث. القيمة الافتراضية = تاريخ التحديث لعدم توفر تاريخ الطلب في التقارير الشهرية.</t>
      </text>
    </comment>
  </commentList>
</comments>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9</col>
      <colOff>0</colOff>
      <row>6</row>
      <rowOff>0</rowOff>
    </from>
    <ext cx="5760000" cy="270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H32"/>
  <sheetViews>
    <sheetView rightToLeft="1" workbookViewId="0">
      <selection activeCell="A1" sqref="A1"/>
    </sheetView>
  </sheetViews>
  <sheetFormatPr baseColWidth="8" defaultRowHeight="15"/>
  <cols>
    <col width="3" customWidth="1" min="1" max="1"/>
    <col width="34" customWidth="1" min="2" max="2"/>
    <col width="14" customWidth="1" min="3" max="3"/>
    <col width="14" customWidth="1" min="4" max="4"/>
    <col width="14" customWidth="1" min="5" max="5"/>
    <col width="14" customWidth="1" min="6" max="6"/>
    <col width="12" customWidth="1" min="7" max="7"/>
    <col width="14" customWidth="1" min="8" max="8"/>
  </cols>
  <sheetData>
    <row r="1" ht="30" customHeight="1">
      <c r="A1" s="1" t="inlineStr">
        <is>
          <t>نسبة الالتزام بتحديث معلومات إرشادات السفر في الموقع الإلكتروني للوزارة</t>
        </is>
      </c>
    </row>
    <row r="2">
      <c r="A2" s="2" t="inlineStr">
        <is>
          <t>الربع الثالث 2026 (يوليو – سبتمبر)  ·  Q3 2026 Travel Advisory Update Compliance</t>
        </is>
      </c>
    </row>
    <row r="5">
      <c r="B5" s="3" t="inlineStr">
        <is>
          <t>المهلة المحددة للتحديث (بالأيام)</t>
        </is>
      </c>
      <c r="C5" s="4" t="n">
        <v>1</v>
      </c>
      <c r="D5" s="5" t="inlineStr">
        <is>
          <t>← قابلة للتعديل وفق المهلة المعتمدة (يُحتسب التحديث ملتزماً إذا تم خلال هذه المدة من تاريخ ورود المعلومة)</t>
        </is>
      </c>
    </row>
    <row r="7">
      <c r="B7" s="6" t="inlineStr">
        <is>
          <t>المؤشرات الرئيسية</t>
        </is>
      </c>
    </row>
    <row r="8">
      <c r="B8" s="3" t="inlineStr">
        <is>
          <t>إجمالي التحديثات المنفذة</t>
        </is>
      </c>
      <c r="C8" s="7">
        <f>COUNT('سجل التحديثات'!$A$5:$A$182)</f>
        <v>178</v>
      </c>
    </row>
    <row r="9">
      <c r="B9" s="3" t="inlineStr">
        <is>
          <t>عدد الدول التي شملها التحديث</t>
        </is>
      </c>
      <c r="C9" s="7">
        <f>COUNT('الالتزام حسب الدولة'!A5:A56)</f>
        <v>52</v>
      </c>
    </row>
    <row r="10">
      <c r="B10" s="3" t="inlineStr">
        <is>
          <t>التحديثات الملتزمة بالوقت المحدد</t>
        </is>
      </c>
      <c r="C10" s="7">
        <f>COUNTIF('سجل التحديثات'!$J$5:$J$182,"ملتزم")</f>
        <v>178</v>
      </c>
    </row>
    <row r="11">
      <c r="B11" s="3" t="inlineStr">
        <is>
          <t>التحديثات المتأخرة</t>
        </is>
      </c>
      <c r="C11" s="7">
        <f>COUNTIF('سجل التحديثات'!$J$5:$J$182,"متأخر")</f>
        <v>0</v>
      </c>
    </row>
    <row r="12">
      <c r="B12" s="3" t="inlineStr">
        <is>
          <t>نسبة الالتزام بالوقت المحدد</t>
        </is>
      </c>
      <c r="C12" s="8">
        <f>IF(C8=0,0,C10/C8)</f>
        <v>1.0</v>
      </c>
    </row>
    <row r="14">
      <c r="B14" s="6" t="inlineStr">
        <is>
          <t>الالتزام حسب الشهر</t>
        </is>
      </c>
    </row>
    <row r="15">
      <c r="B15" s="9" t="inlineStr">
        <is>
          <t>الشهر</t>
        </is>
      </c>
      <c r="C15" s="9" t="inlineStr">
        <is>
          <t>إجمالي التحديثات</t>
        </is>
      </c>
      <c r="D15" s="9" t="inlineStr">
        <is>
          <t>ملتزم</t>
        </is>
      </c>
      <c r="E15" s="9" t="inlineStr">
        <is>
          <t>متأخر</t>
        </is>
      </c>
      <c r="F15" s="9" t="inlineStr">
        <is>
          <t>نسبة الالتزام</t>
        </is>
      </c>
    </row>
    <row r="16">
      <c r="B16" s="10" t="inlineStr">
        <is>
          <t>يوليو 2026</t>
        </is>
      </c>
      <c r="C16" s="10">
        <f>COUNTIF('سجل التحديثات'!$B$5:$B$182,"يوليو")</f>
        <v>65</v>
      </c>
      <c r="D16" s="10">
        <f>COUNTIFS('سجل التحديثات'!$B$5:$B$182,"يوليو",'سجل التحديثات'!$J$5:$J$182,"ملتزم")</f>
        <v>65</v>
      </c>
      <c r="E16" s="10">
        <f>COUNTIFS('سجل التحديثات'!$B$5:$B$182,"يوليو",'سجل التحديثات'!$J$5:$J$182,"متأخر")</f>
        <v>0</v>
      </c>
      <c r="F16" s="11">
        <f>IF(C16=0,0,D16/C16)</f>
        <v>1.0</v>
      </c>
    </row>
    <row r="17">
      <c r="B17" s="10" t="inlineStr">
        <is>
          <t>أغسطس 2026</t>
        </is>
      </c>
      <c r="C17" s="10">
        <f>COUNTIF('سجل التحديثات'!$B$5:$B$182,"أغسطس")</f>
        <v>46</v>
      </c>
      <c r="D17" s="10">
        <f>COUNTIFS('سجل التحديثات'!$B$5:$B$182,"أغسطس",'سجل التحديثات'!$J$5:$J$182,"ملتزم")</f>
        <v>46</v>
      </c>
      <c r="E17" s="10">
        <f>COUNTIFS('سجل التحديثات'!$B$5:$B$182,"أغسطس",'سجل التحديثات'!$J$5:$J$182,"متأخر")</f>
        <v>0</v>
      </c>
      <c r="F17" s="11">
        <f>IF(C17=0,0,D17/C17)</f>
        <v>1.0</v>
      </c>
    </row>
    <row r="18">
      <c r="B18" s="10" t="inlineStr">
        <is>
          <t>سبتمبر 2026</t>
        </is>
      </c>
      <c r="C18" s="10">
        <f>COUNTIF('سجل التحديثات'!$B$5:$B$182,"سبتمبر")</f>
        <v>67</v>
      </c>
      <c r="D18" s="10">
        <f>COUNTIFS('سجل التحديثات'!$B$5:$B$182,"سبتمبر",'سجل التحديثات'!$J$5:$J$182,"ملتزم")</f>
        <v>67</v>
      </c>
      <c r="E18" s="10">
        <f>COUNTIFS('سجل التحديثات'!$B$5:$B$182,"سبتمبر",'سجل التحديثات'!$J$5:$J$182,"متأخر")</f>
        <v>0</v>
      </c>
      <c r="F18" s="11">
        <f>IF(C18=0,0,D18/C18)</f>
        <v>1.0</v>
      </c>
    </row>
    <row r="19">
      <c r="B19" s="12" t="inlineStr">
        <is>
          <t>إجمالي الربع الثالث</t>
        </is>
      </c>
      <c r="C19" s="12">
        <f>SUM(C16:C18)</f>
        <v>178</v>
      </c>
      <c r="D19" s="12">
        <f>SUM(D16:D18)</f>
        <v>178</v>
      </c>
      <c r="E19" s="12">
        <f>SUM(E16:E18)</f>
        <v>0</v>
      </c>
      <c r="F19" s="13">
        <f>IF(C19=0,0,D19/C19)</f>
        <v>1.0</v>
      </c>
    </row>
    <row r="21">
      <c r="B21" s="6" t="inlineStr">
        <is>
          <t>الالتزام حسب فئة التحديث</t>
        </is>
      </c>
    </row>
    <row r="22">
      <c r="B22" s="9" t="inlineStr">
        <is>
          <t>الفئة</t>
        </is>
      </c>
      <c r="C22" s="9" t="inlineStr">
        <is>
          <t>يوليو</t>
        </is>
      </c>
      <c r="D22" s="9" t="inlineStr">
        <is>
          <t>أغسطس</t>
        </is>
      </c>
      <c r="E22" s="9" t="inlineStr">
        <is>
          <t>سبتمبر</t>
        </is>
      </c>
      <c r="F22" s="9" t="inlineStr">
        <is>
          <t>إجمالي الربع</t>
        </is>
      </c>
      <c r="G22" s="9" t="inlineStr">
        <is>
          <t>ملتزم</t>
        </is>
      </c>
      <c r="H22" s="9" t="inlineStr">
        <is>
          <t>نسبة الالتزام</t>
        </is>
      </c>
    </row>
    <row r="23">
      <c r="B23" s="10" t="inlineStr">
        <is>
          <t>التنبيهات والتحذيرات</t>
        </is>
      </c>
      <c r="C23" s="10">
        <f>COUNTIFS('سجل التحديثات'!$C$5:$C$182,"التنبيهات والتحذيرات",'سجل التحديثات'!$B$5:$B$182,"يوليو")</f>
        <v>19</v>
      </c>
      <c r="D23" s="10">
        <f>COUNTIFS('سجل التحديثات'!$C$5:$C$182,"التنبيهات والتحذيرات",'سجل التحديثات'!$B$5:$B$182,"أغسطس")</f>
        <v>30</v>
      </c>
      <c r="E23" s="10">
        <f>COUNTIFS('سجل التحديثات'!$C$5:$C$182,"التنبيهات والتحذيرات",'سجل التحديثات'!$B$5:$B$182,"سبتمبر")</f>
        <v>20</v>
      </c>
      <c r="F23" s="10">
        <f>SUM(C23:E23)</f>
        <v>69</v>
      </c>
      <c r="G23" s="10">
        <f>COUNTIFS('سجل التحديثات'!$C$5:$C$182,"التنبيهات والتحذيرات",'سجل التحديثات'!$J$5:$J$182,"ملتزم")</f>
        <v>69</v>
      </c>
      <c r="H23" s="11">
        <f>IF(F23=0,0,G23/F23)</f>
        <v>1.0</v>
      </c>
    </row>
    <row r="24">
      <c r="B24" s="10" t="inlineStr">
        <is>
          <t>الإعفاءات من التأشيرة</t>
        </is>
      </c>
      <c r="C24" s="10">
        <f>COUNTIFS('سجل التحديثات'!$C$5:$C$182,"الإعفاءات من التأشيرة",'سجل التحديثات'!$B$5:$B$182,"يوليو")</f>
        <v>7</v>
      </c>
      <c r="D24" s="10">
        <f>COUNTIFS('سجل التحديثات'!$C$5:$C$182,"الإعفاءات من التأشيرة",'سجل التحديثات'!$B$5:$B$182,"أغسطس")</f>
        <v>4</v>
      </c>
      <c r="E24" s="10">
        <f>COUNTIFS('سجل التحديثات'!$C$5:$C$182,"الإعفاءات من التأشيرة",'سجل التحديثات'!$B$5:$B$182,"سبتمبر")</f>
        <v>11</v>
      </c>
      <c r="F24" s="10">
        <f>SUM(C24:E24)</f>
        <v>22</v>
      </c>
      <c r="G24" s="10">
        <f>COUNTIFS('سجل التحديثات'!$C$5:$C$182,"الإعفاءات من التأشيرة",'سجل التحديثات'!$J$5:$J$182,"ملتزم")</f>
        <v>22</v>
      </c>
      <c r="H24" s="11">
        <f>IF(F24=0,0,G24/F24)</f>
        <v>1.0</v>
      </c>
    </row>
    <row r="25">
      <c r="B25" s="10" t="inlineStr">
        <is>
          <t>إرشادات المسافر</t>
        </is>
      </c>
      <c r="C25" s="10">
        <f>COUNTIFS('سجل التحديثات'!$C$5:$C$182,"إرشادات المسافر",'سجل التحديثات'!$B$5:$B$182,"يوليو")</f>
        <v>39</v>
      </c>
      <c r="D25" s="10">
        <f>COUNTIFS('سجل التحديثات'!$C$5:$C$182,"إرشادات المسافر",'سجل التحديثات'!$B$5:$B$182,"أغسطس")</f>
        <v>12</v>
      </c>
      <c r="E25" s="10">
        <f>COUNTIFS('سجل التحديثات'!$C$5:$C$182,"إرشادات المسافر",'سجل التحديثات'!$B$5:$B$182,"سبتمبر")</f>
        <v>36</v>
      </c>
      <c r="F25" s="10">
        <f>SUM(C25:E25)</f>
        <v>87</v>
      </c>
      <c r="G25" s="10">
        <f>COUNTIFS('سجل التحديثات'!$C$5:$C$182,"إرشادات المسافر",'سجل التحديثات'!$J$5:$J$182,"ملتزم")</f>
        <v>87</v>
      </c>
      <c r="H25" s="11">
        <f>IF(F25=0,0,G25/F25)</f>
        <v>1.0</v>
      </c>
    </row>
    <row r="26">
      <c r="B26" s="12" t="inlineStr">
        <is>
          <t>الإجمالي</t>
        </is>
      </c>
      <c r="C26" s="12">
        <f>SUM(C23:C25)</f>
        <v>65</v>
      </c>
      <c r="D26" s="12">
        <f>SUM(D23:D25)</f>
        <v>46</v>
      </c>
      <c r="E26" s="12">
        <f>SUM(E23:E25)</f>
        <v>67</v>
      </c>
      <c r="F26" s="12">
        <f>SUM(F23:F25)</f>
        <v>178</v>
      </c>
      <c r="G26" s="12">
        <f>SUM(G23:G25)</f>
        <v>178</v>
      </c>
      <c r="H26" s="13">
        <f>IF(F26=0,0,G26/F26)</f>
        <v>1.0</v>
      </c>
    </row>
    <row r="28">
      <c r="B28" s="6" t="inlineStr">
        <is>
          <t>ملاحظات منهجية</t>
        </is>
      </c>
    </row>
    <row r="29" ht="30" customHeight="1">
      <c r="B29" s="14" t="inlineStr">
        <is>
          <t>1) مصدر البيانات: التقارير الشهرية لـ«المسافر الإماراتي والتنبيهات والتحذيرات» لأشهر يوليو وأغسطس وسبتمبر 2026.</t>
        </is>
      </c>
    </row>
    <row r="30" ht="30" customHeight="1">
      <c r="B30" s="14" t="inlineStr">
        <is>
          <t>2) التقارير الشهرية تتضمن تاريخ التحديث فقط ولا تتضمن تاريخ ورود المعلومة؛ لذا تم افتراض تاريخ الورود = تاريخ التحديث (تحديث في نفس اليوم) في عمود «تاريخ ورود المعلومة» بورقة سجل التحديثات.</t>
        </is>
      </c>
    </row>
    <row r="31" ht="30" customHeight="1">
      <c r="B31" s="14" t="inlineStr">
        <is>
          <t>3) عند تعديل تاريخ الورود (الخلايا الصفراء) أو المهلة المحددة (C5) يُعاد احتساب الحالة ونسب الالتزام تلقائياً.</t>
        </is>
      </c>
    </row>
    <row r="32" ht="30" customHeight="1">
      <c r="B32" s="14" t="inlineStr">
        <is>
          <t>4) تم توحيد مسميات الدول (مثل USA / United States) لأغراض الاحتساب حسب الدولة.</t>
        </is>
      </c>
    </row>
  </sheetData>
  <mergeCells count="6">
    <mergeCell ref="A2:F2"/>
    <mergeCell ref="B32:H32"/>
    <mergeCell ref="A1:F1"/>
    <mergeCell ref="B30:H30"/>
    <mergeCell ref="B29:H29"/>
    <mergeCell ref="B31:H31"/>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K182"/>
  <sheetViews>
    <sheetView rightToLeft="1" workbookViewId="0">
      <pane ySplit="4" topLeftCell="A5" activePane="bottomLeft" state="frozen"/>
      <selection pane="bottomLeft" activeCell="A1" sqref="A1"/>
    </sheetView>
  </sheetViews>
  <sheetFormatPr baseColWidth="8" defaultRowHeight="15"/>
  <cols>
    <col width="6" customWidth="1" min="1" max="1"/>
    <col width="10" customWidth="1" min="2" max="2"/>
    <col width="20" customWidth="1" min="3" max="3"/>
    <col width="30" customWidth="1" min="4" max="4"/>
    <col width="18" customWidth="1" min="5" max="5"/>
    <col width="60" customWidth="1" min="6" max="6"/>
    <col width="15" customWidth="1" min="7" max="7"/>
    <col width="15" customWidth="1" min="8" max="8"/>
    <col width="10" customWidth="1" min="9" max="9"/>
    <col width="11" customWidth="1" min="10" max="10"/>
    <col width="20" customWidth="1" min="11" max="11"/>
  </cols>
  <sheetData>
    <row r="1" ht="30" customHeight="1">
      <c r="A1" s="1" t="inlineStr">
        <is>
          <t>سجل تحديثات إرشادات السفر – الربع الثالث 2026</t>
        </is>
      </c>
    </row>
    <row r="2">
      <c r="A2" s="2" t="inlineStr">
        <is>
          <t>Travel Advisory Updates Log – Q3 2026 (July – September)</t>
        </is>
      </c>
    </row>
    <row r="4" ht="34" customHeight="1">
      <c r="A4" s="9" t="inlineStr">
        <is>
          <t>م
No.</t>
        </is>
      </c>
      <c r="B4" s="9" t="inlineStr">
        <is>
          <t>الشهر
Month</t>
        </is>
      </c>
      <c r="C4" s="9" t="inlineStr">
        <is>
          <t>الفئة
Category</t>
        </is>
      </c>
      <c r="D4" s="9" t="inlineStr">
        <is>
          <t>الدولة
Country</t>
        </is>
      </c>
      <c r="E4" s="9" t="inlineStr">
        <is>
          <t>نوع الإجراء
Action</t>
        </is>
      </c>
      <c r="F4" s="9" t="inlineStr">
        <is>
          <t>تفاصيل التحديث
Details</t>
        </is>
      </c>
      <c r="G4" s="9" t="inlineStr">
        <is>
          <t>تاريخ ورود المعلومة
Request date</t>
        </is>
      </c>
      <c r="H4" s="9" t="inlineStr">
        <is>
          <t>تاريخ التحديث بالموقع
Update date</t>
        </is>
      </c>
      <c r="I4" s="9" t="inlineStr">
        <is>
          <t>المدة (يوم)
Days</t>
        </is>
      </c>
      <c r="J4" s="9" t="inlineStr">
        <is>
          <t>الحالة
Status</t>
        </is>
      </c>
      <c r="K4" s="9" t="inlineStr">
        <is>
          <t>ملاحظات
Notes</t>
        </is>
      </c>
    </row>
    <row r="5">
      <c r="A5" s="15" t="n">
        <v>1</v>
      </c>
      <c r="B5" s="15" t="inlineStr">
        <is>
          <t>يوليو</t>
        </is>
      </c>
      <c r="C5" s="15" t="inlineStr">
        <is>
          <t>الإعفاءات من التأشيرة</t>
        </is>
      </c>
      <c r="D5" s="16" t="inlineStr">
        <is>
          <t>سوريا · Syria</t>
        </is>
      </c>
      <c r="E5" s="15" t="inlineStr">
        <is>
          <t>تحديث صفحة الإعفاء</t>
        </is>
      </c>
      <c r="F5" s="16" t="inlineStr">
        <is>
          <t>تعديل أيقونة الإعفاء من التأشيرة في صفحة المسافر الإماراتي على موقع الوزارة – سوريا</t>
        </is>
      </c>
      <c r="G5" s="17" t="n">
        <v>46204</v>
      </c>
      <c r="H5" s="18" t="n">
        <v>46204</v>
      </c>
      <c r="I5" s="15">
        <f>IF(OR(G5="",H5=""),"",H5-G5)</f>
        <v>0</v>
      </c>
      <c r="J5" s="15" t="str">
        <f>IF(I5="","",IF(I5&lt;=الملخص!$C$5,"ملتزم","متأخر"))</f>
        <v>ملتزم</v>
      </c>
      <c r="K5" s="19" t="inlineStr"/>
    </row>
    <row r="6">
      <c r="A6" s="20" t="n">
        <v>2</v>
      </c>
      <c r="B6" s="20" t="inlineStr">
        <is>
          <t>يوليو</t>
        </is>
      </c>
      <c r="C6" s="20" t="inlineStr">
        <is>
          <t>إرشادات المسافر</t>
        </is>
      </c>
      <c r="D6" s="21" t="inlineStr">
        <is>
          <t>السعودية · Saudi Arabia</t>
        </is>
      </c>
      <c r="E6" s="20" t="inlineStr">
        <is>
          <t>القوانين والتعليمات والجمارك</t>
        </is>
      </c>
      <c r="F6" s="21" t="inlineStr">
        <is>
          <t>تعديل خانة القوانين والتعليمات والجمارك في صفحة المسافر الإماراتي على موقع الوزارة – السعودية</t>
        </is>
      </c>
      <c r="G6" s="17" t="n">
        <v>46204</v>
      </c>
      <c r="H6" s="22" t="n">
        <v>46204</v>
      </c>
      <c r="I6" s="20">
        <f>IF(OR(G6="",H6=""),"",H6-G6)</f>
        <v>0</v>
      </c>
      <c r="J6" s="20" t="str">
        <f>IF(I6="","",IF(I6&lt;=الملخص!$C$5,"ملتزم","متأخر"))</f>
        <v>ملتزم</v>
      </c>
      <c r="K6" s="19" t="inlineStr"/>
    </row>
    <row r="7">
      <c r="A7" s="15" t="n">
        <v>3</v>
      </c>
      <c r="B7" s="15" t="inlineStr">
        <is>
          <t>يوليو</t>
        </is>
      </c>
      <c r="C7" s="15" t="inlineStr">
        <is>
          <t>إرشادات المسافر</t>
        </is>
      </c>
      <c r="D7" s="16" t="inlineStr">
        <is>
          <t>سوريا · Syria</t>
        </is>
      </c>
      <c r="E7" s="15" t="inlineStr">
        <is>
          <t>القوانين والتعليمات والجمارك</t>
        </is>
      </c>
      <c r="F7" s="16" t="inlineStr">
        <is>
          <t>تعديل خانة القوانين في صفحة المسافر الإماراتي على موقع الوزارة – سوريا</t>
        </is>
      </c>
      <c r="G7" s="17" t="n">
        <v>46204</v>
      </c>
      <c r="H7" s="18" t="n">
        <v>46204</v>
      </c>
      <c r="I7" s="15">
        <f>IF(OR(G7="",H7=""),"",H7-G7)</f>
        <v>0</v>
      </c>
      <c r="J7" s="15" t="str">
        <f>IF(I7="","",IF(I7&lt;=الملخص!$C$5,"ملتزم","متأخر"))</f>
        <v>ملتزم</v>
      </c>
      <c r="K7" s="19" t="inlineStr"/>
    </row>
    <row r="8">
      <c r="A8" s="20" t="n">
        <v>4</v>
      </c>
      <c r="B8" s="20" t="inlineStr">
        <is>
          <t>يوليو</t>
        </is>
      </c>
      <c r="C8" s="20" t="inlineStr">
        <is>
          <t>إرشادات المسافر</t>
        </is>
      </c>
      <c r="D8" s="21" t="inlineStr">
        <is>
          <t>سوريا · Syria</t>
        </is>
      </c>
      <c r="E8" s="20" t="inlineStr">
        <is>
          <t>ارشادات الكوارث والأزمات</t>
        </is>
      </c>
      <c r="F8" s="21" t="inlineStr">
        <is>
          <t>تعديل وإضافة مسميات وأرقام الطوارئ في خانة إرشادات الكوارث والأزمات في صفحة المسافر الإماراتي على موقع الوزارة – سوريا</t>
        </is>
      </c>
      <c r="G8" s="17" t="n">
        <v>46204</v>
      </c>
      <c r="H8" s="22" t="n">
        <v>46204</v>
      </c>
      <c r="I8" s="20">
        <f>IF(OR(G8="",H8=""),"",H8-G8)</f>
        <v>0</v>
      </c>
      <c r="J8" s="20" t="str">
        <f>IF(I8="","",IF(I8&lt;=الملخص!$C$5,"ملتزم","متأخر"))</f>
        <v>ملتزم</v>
      </c>
      <c r="K8" s="19" t="inlineStr"/>
    </row>
    <row r="9">
      <c r="A9" s="15" t="n">
        <v>5</v>
      </c>
      <c r="B9" s="15" t="inlineStr">
        <is>
          <t>يوليو</t>
        </is>
      </c>
      <c r="C9" s="15" t="inlineStr">
        <is>
          <t>إرشادات المسافر</t>
        </is>
      </c>
      <c r="D9" s="16" t="inlineStr">
        <is>
          <t>سوريا · Syria</t>
        </is>
      </c>
      <c r="E9" s="15" t="inlineStr">
        <is>
          <t>العادات والتقاليد والعطلات</t>
        </is>
      </c>
      <c r="F9" s="16" t="inlineStr">
        <is>
          <t>تعديل خانة العادات والتقاليد والعطلات في صفحة المسافر الإماراتي على موقع الوزارة – سوريا</t>
        </is>
      </c>
      <c r="G9" s="17" t="n">
        <v>46204</v>
      </c>
      <c r="H9" s="18" t="n">
        <v>46204</v>
      </c>
      <c r="I9" s="15">
        <f>IF(OR(G9="",H9=""),"",H9-G9)</f>
        <v>0</v>
      </c>
      <c r="J9" s="15" t="str">
        <f>IF(I9="","",IF(I9&lt;=الملخص!$C$5,"ملتزم","متأخر"))</f>
        <v>ملتزم</v>
      </c>
      <c r="K9" s="19" t="inlineStr"/>
    </row>
    <row r="10">
      <c r="A10" s="20" t="n">
        <v>6</v>
      </c>
      <c r="B10" s="20" t="inlineStr">
        <is>
          <t>يوليو</t>
        </is>
      </c>
      <c r="C10" s="20" t="inlineStr">
        <is>
          <t>إرشادات المسافر</t>
        </is>
      </c>
      <c r="D10" s="21" t="inlineStr">
        <is>
          <t>قطر · Qatar</t>
        </is>
      </c>
      <c r="E10" s="20" t="inlineStr">
        <is>
          <t>ارشادات الكوارث والأزمات</t>
        </is>
      </c>
      <c r="F10" s="21" t="inlineStr">
        <is>
          <t>تعديل خانة الكوارث والأزمات في صفحة المسافر الإماراتي على موقع الوزارة – قطر</t>
        </is>
      </c>
      <c r="G10" s="17" t="n">
        <v>46204</v>
      </c>
      <c r="H10" s="22" t="n">
        <v>46204</v>
      </c>
      <c r="I10" s="20">
        <f>IF(OR(G10="",H10=""),"",H10-G10)</f>
        <v>0</v>
      </c>
      <c r="J10" s="20" t="str">
        <f>IF(I10="","",IF(I10&lt;=الملخص!$C$5,"ملتزم","متأخر"))</f>
        <v>ملتزم</v>
      </c>
      <c r="K10" s="19" t="inlineStr"/>
    </row>
    <row r="11">
      <c r="A11" s="15" t="n">
        <v>7</v>
      </c>
      <c r="B11" s="15" t="inlineStr">
        <is>
          <t>يوليو</t>
        </is>
      </c>
      <c r="C11" s="15" t="inlineStr">
        <is>
          <t>إرشادات المسافر</t>
        </is>
      </c>
      <c r="D11" s="16" t="inlineStr">
        <is>
          <t>قطر · Qatar</t>
        </is>
      </c>
      <c r="E11" s="15" t="inlineStr">
        <is>
          <t>العادات والتقاليد والعطلات</t>
        </is>
      </c>
      <c r="F11" s="16" t="inlineStr">
        <is>
          <t>تعديل خانة العادات والتقاليد والعطلات في صفحة المسافر الإماراتي على موقع الوزارة – قطر</t>
        </is>
      </c>
      <c r="G11" s="17" t="n">
        <v>46204</v>
      </c>
      <c r="H11" s="18" t="n">
        <v>46204</v>
      </c>
      <c r="I11" s="15">
        <f>IF(OR(G11="",H11=""),"",H11-G11)</f>
        <v>0</v>
      </c>
      <c r="J11" s="15" t="str">
        <f>IF(I11="","",IF(I11&lt;=الملخص!$C$5,"ملتزم","متأخر"))</f>
        <v>ملتزم</v>
      </c>
      <c r="K11" s="19" t="inlineStr"/>
    </row>
    <row r="12">
      <c r="A12" s="20" t="n">
        <v>8</v>
      </c>
      <c r="B12" s="20" t="inlineStr">
        <is>
          <t>يوليو</t>
        </is>
      </c>
      <c r="C12" s="20" t="inlineStr">
        <is>
          <t>التنبيهات والتحذيرات</t>
        </is>
      </c>
      <c r="D12" s="21" t="inlineStr">
        <is>
          <t>فيتنام · Vietnam</t>
        </is>
      </c>
      <c r="E12" s="20" t="inlineStr">
        <is>
          <t>نشر تنبيه</t>
        </is>
      </c>
      <c r="F12" s="21" t="inlineStr">
        <is>
          <t>نشر تنبيه في صفحة المسافر الإماراتي على موقع الوزارة – فيتنام</t>
        </is>
      </c>
      <c r="G12" s="17" t="n">
        <v>46205</v>
      </c>
      <c r="H12" s="22" t="n">
        <v>46205</v>
      </c>
      <c r="I12" s="20">
        <f>IF(OR(G12="",H12=""),"",H12-G12)</f>
        <v>0</v>
      </c>
      <c r="J12" s="20" t="str">
        <f>IF(I12="","",IF(I12&lt;=الملخص!$C$5,"ملتزم","متأخر"))</f>
        <v>ملتزم</v>
      </c>
      <c r="K12" s="19" t="inlineStr"/>
    </row>
    <row r="13">
      <c r="A13" s="15" t="n">
        <v>9</v>
      </c>
      <c r="B13" s="15" t="inlineStr">
        <is>
          <t>يوليو</t>
        </is>
      </c>
      <c r="C13" s="15" t="inlineStr">
        <is>
          <t>إرشادات المسافر</t>
        </is>
      </c>
      <c r="D13" s="16" t="inlineStr">
        <is>
          <t>الهند · India</t>
        </is>
      </c>
      <c r="E13" s="15" t="inlineStr">
        <is>
          <t>إرشادات السفر العامة</t>
        </is>
      </c>
      <c r="F13" s="16" t="inlineStr">
        <is>
          <t>تعديل خانة إرشادات السفر العامة في صفحة المسافر الإماراتي على موقع الوزارة – الهند</t>
        </is>
      </c>
      <c r="G13" s="17" t="n">
        <v>46205</v>
      </c>
      <c r="H13" s="18" t="n">
        <v>46205</v>
      </c>
      <c r="I13" s="15">
        <f>IF(OR(G13="",H13=""),"",H13-G13)</f>
        <v>0</v>
      </c>
      <c r="J13" s="15" t="str">
        <f>IF(I13="","",IF(I13&lt;=الملخص!$C$5,"ملتزم","متأخر"))</f>
        <v>ملتزم</v>
      </c>
      <c r="K13" s="19" t="inlineStr"/>
    </row>
    <row r="14">
      <c r="A14" s="20" t="n">
        <v>10</v>
      </c>
      <c r="B14" s="20" t="inlineStr">
        <is>
          <t>يوليو</t>
        </is>
      </c>
      <c r="C14" s="20" t="inlineStr">
        <is>
          <t>الإعفاءات من التأشيرة</t>
        </is>
      </c>
      <c r="D14" s="21" t="inlineStr">
        <is>
          <t>المملكة المتحدة · United Kingdom</t>
        </is>
      </c>
      <c r="E14" s="20" t="inlineStr">
        <is>
          <t>تحديث صفحة الإعفاء</t>
        </is>
      </c>
      <c r="F14" s="21" t="inlineStr">
        <is>
          <t>تحديث الأيقونة الخاصة بالإعفاء من التأشيرة في صفحة المسافر الإماراتي – المملكة المتحدة لبريطانيا العظمى وأيرلندا الشمالية</t>
        </is>
      </c>
      <c r="G14" s="17" t="n">
        <v>46209</v>
      </c>
      <c r="H14" s="22" t="n">
        <v>46209</v>
      </c>
      <c r="I14" s="20">
        <f>IF(OR(G14="",H14=""),"",H14-G14)</f>
        <v>0</v>
      </c>
      <c r="J14" s="20" t="str">
        <f>IF(I14="","",IF(I14&lt;=الملخص!$C$5,"ملتزم","متأخر"))</f>
        <v>ملتزم</v>
      </c>
      <c r="K14" s="19" t="inlineStr"/>
    </row>
    <row r="15">
      <c r="A15" s="15" t="n">
        <v>11</v>
      </c>
      <c r="B15" s="15" t="inlineStr">
        <is>
          <t>يوليو</t>
        </is>
      </c>
      <c r="C15" s="15" t="inlineStr">
        <is>
          <t>إرشادات المسافر</t>
        </is>
      </c>
      <c r="D15" s="16" t="inlineStr">
        <is>
          <t>فنلندا · Finland</t>
        </is>
      </c>
      <c r="E15" s="15" t="inlineStr">
        <is>
          <t>ارشادات الكوارث والأزمات</t>
        </is>
      </c>
      <c r="F15" s="16" t="inlineStr">
        <is>
          <t>تعديل خانة الكوارث والأزمات في صفحة المسافر الإماراتي – فنلندا</t>
        </is>
      </c>
      <c r="G15" s="17" t="n">
        <v>46209</v>
      </c>
      <c r="H15" s="18" t="n">
        <v>46209</v>
      </c>
      <c r="I15" s="15">
        <f>IF(OR(G15="",H15=""),"",H15-G15)</f>
        <v>0</v>
      </c>
      <c r="J15" s="15" t="str">
        <f>IF(I15="","",IF(I15&lt;=الملخص!$C$5,"ملتزم","متأخر"))</f>
        <v>ملتزم</v>
      </c>
      <c r="K15" s="19" t="inlineStr"/>
    </row>
    <row r="16">
      <c r="A16" s="20" t="n">
        <v>12</v>
      </c>
      <c r="B16" s="20" t="inlineStr">
        <is>
          <t>يوليو</t>
        </is>
      </c>
      <c r="C16" s="20" t="inlineStr">
        <is>
          <t>التنبيهات والتحذيرات</t>
        </is>
      </c>
      <c r="D16" s="21" t="inlineStr">
        <is>
          <t>نيوزيلندا · New Zealand</t>
        </is>
      </c>
      <c r="E16" s="20" t="inlineStr">
        <is>
          <t>نشر تنبيه</t>
        </is>
      </c>
      <c r="F16" s="21" t="inlineStr">
        <is>
          <t>نشر تنبيه المسافر الإماراتي لنيوزيلندا باللغتين العربية والإنجليزية على موقع الوزارة</t>
        </is>
      </c>
      <c r="G16" s="17" t="n">
        <v>46210</v>
      </c>
      <c r="H16" s="22" t="n">
        <v>46210</v>
      </c>
      <c r="I16" s="20">
        <f>IF(OR(G16="",H16=""),"",H16-G16)</f>
        <v>0</v>
      </c>
      <c r="J16" s="20" t="str">
        <f>IF(I16="","",IF(I16&lt;=الملخص!$C$5,"ملتزم","متأخر"))</f>
        <v>ملتزم</v>
      </c>
      <c r="K16" s="19" t="inlineStr"/>
    </row>
    <row r="17">
      <c r="A17" s="15" t="n">
        <v>13</v>
      </c>
      <c r="B17" s="15" t="inlineStr">
        <is>
          <t>يوليو</t>
        </is>
      </c>
      <c r="C17" s="15" t="inlineStr">
        <is>
          <t>الإعفاءات من التأشيرة</t>
        </is>
      </c>
      <c r="D17" s="16" t="inlineStr">
        <is>
          <t>المملكة المتحدة · United Kingdom</t>
        </is>
      </c>
      <c r="E17" s="15" t="inlineStr">
        <is>
          <t>تحديث صفحة الإعفاء</t>
        </is>
      </c>
      <c r="F17" s="16" t="inlineStr">
        <is>
          <t>تعديل خانة الإعفاء من التأشيرة باللغتين العربية والإنجليزية في صفحة المسافر الإماراتي للمملكة المتحدة على موقع الوزارة</t>
        </is>
      </c>
      <c r="G17" s="17" t="n">
        <v>46211</v>
      </c>
      <c r="H17" s="18" t="n">
        <v>46211</v>
      </c>
      <c r="I17" s="15">
        <f>IF(OR(G17="",H17=""),"",H17-G17)</f>
        <v>0</v>
      </c>
      <c r="J17" s="15" t="str">
        <f>IF(I17="","",IF(I17&lt;=الملخص!$C$5,"ملتزم","متأخر"))</f>
        <v>ملتزم</v>
      </c>
      <c r="K17" s="19" t="inlineStr"/>
    </row>
    <row r="18">
      <c r="A18" s="20" t="n">
        <v>14</v>
      </c>
      <c r="B18" s="20" t="inlineStr">
        <is>
          <t>يوليو</t>
        </is>
      </c>
      <c r="C18" s="20" t="inlineStr">
        <is>
          <t>إرشادات المسافر</t>
        </is>
      </c>
      <c r="D18" s="21" t="inlineStr">
        <is>
          <t>المملكة المتحدة · United Kingdom</t>
        </is>
      </c>
      <c r="E18" s="20" t="inlineStr">
        <is>
          <t>القوانين والتعليمات والجمارك</t>
        </is>
      </c>
      <c r="F18" s="21" t="inlineStr">
        <is>
          <t>تعديل خانة القوانين والتعليمات والجمارك باللغتين العربية والإنجليزية في صفحة المسافر الإماراتي للمملكة المتحدة على موقع الوزارة</t>
        </is>
      </c>
      <c r="G18" s="17" t="n">
        <v>46211</v>
      </c>
      <c r="H18" s="22" t="n">
        <v>46211</v>
      </c>
      <c r="I18" s="20">
        <f>IF(OR(G18="",H18=""),"",H18-G18)</f>
        <v>0</v>
      </c>
      <c r="J18" s="20" t="str">
        <f>IF(I18="","",IF(I18&lt;=الملخص!$C$5,"ملتزم","متأخر"))</f>
        <v>ملتزم</v>
      </c>
      <c r="K18" s="19" t="inlineStr"/>
    </row>
    <row r="19">
      <c r="A19" s="15" t="n">
        <v>15</v>
      </c>
      <c r="B19" s="15" t="inlineStr">
        <is>
          <t>يوليو</t>
        </is>
      </c>
      <c r="C19" s="15" t="inlineStr">
        <is>
          <t>إرشادات المسافر</t>
        </is>
      </c>
      <c r="D19" s="16" t="inlineStr">
        <is>
          <t>المملكة المتحدة · United Kingdom</t>
        </is>
      </c>
      <c r="E19" s="15" t="inlineStr">
        <is>
          <t>العادات والتقاليد والعطلات</t>
        </is>
      </c>
      <c r="F19" s="16" t="inlineStr">
        <is>
          <t>تعديل خانة العادات والتقاليد والعطلات باللغتين العربية والإنجليزية في صفحة المسافر الإماراتي للمملكة المتحدة على موقع الوزارة</t>
        </is>
      </c>
      <c r="G19" s="17" t="n">
        <v>46211</v>
      </c>
      <c r="H19" s="18" t="n">
        <v>46211</v>
      </c>
      <c r="I19" s="15">
        <f>IF(OR(G19="",H19=""),"",H19-G19)</f>
        <v>0</v>
      </c>
      <c r="J19" s="15" t="str">
        <f>IF(I19="","",IF(I19&lt;=الملخص!$C$5,"ملتزم","متأخر"))</f>
        <v>ملتزم</v>
      </c>
      <c r="K19" s="19" t="inlineStr"/>
    </row>
    <row r="20">
      <c r="A20" s="20" t="n">
        <v>16</v>
      </c>
      <c r="B20" s="20" t="inlineStr">
        <is>
          <t>يوليو</t>
        </is>
      </c>
      <c r="C20" s="20" t="inlineStr">
        <is>
          <t>التنبيهات والتحذيرات</t>
        </is>
      </c>
      <c r="D20" s="21" t="inlineStr">
        <is>
          <t>الصين · China</t>
        </is>
      </c>
      <c r="E20" s="20" t="inlineStr">
        <is>
          <t>نشر تنبيه</t>
        </is>
      </c>
      <c r="F20" s="21" t="inlineStr">
        <is>
          <t>نشر تنبيه المسافر الإماراتي للصين باللغتين العربية والإنجليزية على موقع الوزارة</t>
        </is>
      </c>
      <c r="G20" s="17" t="n">
        <v>46212</v>
      </c>
      <c r="H20" s="22" t="n">
        <v>46212</v>
      </c>
      <c r="I20" s="20">
        <f>IF(OR(G20="",H20=""),"",H20-G20)</f>
        <v>0</v>
      </c>
      <c r="J20" s="20" t="str">
        <f>IF(I20="","",IF(I20&lt;=الملخص!$C$5,"ملتزم","متأخر"))</f>
        <v>ملتزم</v>
      </c>
      <c r="K20" s="19" t="inlineStr"/>
    </row>
    <row r="21">
      <c r="A21" s="15" t="n">
        <v>17</v>
      </c>
      <c r="B21" s="15" t="inlineStr">
        <is>
          <t>يوليو</t>
        </is>
      </c>
      <c r="C21" s="15" t="inlineStr">
        <is>
          <t>التنبيهات والتحذيرات</t>
        </is>
      </c>
      <c r="D21" s="16" t="inlineStr">
        <is>
          <t>إسبانيا · Spain</t>
        </is>
      </c>
      <c r="E21" s="15" t="inlineStr">
        <is>
          <t>نشر تنبيه</t>
        </is>
      </c>
      <c r="F21" s="16" t="inlineStr">
        <is>
          <t>نشر تنبيه إسبانيا في قسم "المسافر الإماراتي" على موقع الوزارة</t>
        </is>
      </c>
      <c r="G21" s="17" t="n">
        <v>46213</v>
      </c>
      <c r="H21" s="18" t="n">
        <v>46213</v>
      </c>
      <c r="I21" s="15">
        <f>IF(OR(G21="",H21=""),"",H21-G21)</f>
        <v>0</v>
      </c>
      <c r="J21" s="15" t="str">
        <f>IF(I21="","",IF(I21&lt;=الملخص!$C$5,"ملتزم","متأخر"))</f>
        <v>ملتزم</v>
      </c>
      <c r="K21" s="19" t="inlineStr"/>
    </row>
    <row r="22">
      <c r="A22" s="20" t="n">
        <v>18</v>
      </c>
      <c r="B22" s="20" t="inlineStr">
        <is>
          <t>يوليو</t>
        </is>
      </c>
      <c r="C22" s="20" t="inlineStr">
        <is>
          <t>التنبيهات والتحذيرات</t>
        </is>
      </c>
      <c r="D22" s="21" t="inlineStr">
        <is>
          <t>نيوزيلندا · New Zealand</t>
        </is>
      </c>
      <c r="E22" s="20" t="inlineStr">
        <is>
          <t>حذف تنبيه</t>
        </is>
      </c>
      <c r="F22" s="21" t="inlineStr">
        <is>
          <t>حذف تنبيه نيوزيلندا من صفحة المسافر الإماراتي على موقع الوزارة</t>
        </is>
      </c>
      <c r="G22" s="17" t="n">
        <v>46216</v>
      </c>
      <c r="H22" s="22" t="n">
        <v>46216</v>
      </c>
      <c r="I22" s="20">
        <f>IF(OR(G22="",H22=""),"",H22-G22)</f>
        <v>0</v>
      </c>
      <c r="J22" s="20" t="str">
        <f>IF(I22="","",IF(I22&lt;=الملخص!$C$5,"ملتزم","متأخر"))</f>
        <v>ملتزم</v>
      </c>
      <c r="K22" s="19" t="inlineStr"/>
    </row>
    <row r="23">
      <c r="A23" s="15" t="n">
        <v>19</v>
      </c>
      <c r="B23" s="15" t="inlineStr">
        <is>
          <t>يوليو</t>
        </is>
      </c>
      <c r="C23" s="15" t="inlineStr">
        <is>
          <t>التنبيهات والتحذيرات</t>
        </is>
      </c>
      <c r="D23" s="16" t="inlineStr">
        <is>
          <t>إسبانيا · Spain</t>
        </is>
      </c>
      <c r="E23" s="15" t="inlineStr">
        <is>
          <t>حذف تنبيه</t>
        </is>
      </c>
      <c r="F23" s="16" t="inlineStr">
        <is>
          <t>حذف تنبيه إسبانيا من قسم "المسافر الإماراتي" على موقع الوزارة</t>
        </is>
      </c>
      <c r="G23" s="17" t="n">
        <v>46217</v>
      </c>
      <c r="H23" s="18" t="n">
        <v>46217</v>
      </c>
      <c r="I23" s="15">
        <f>IF(OR(G23="",H23=""),"",H23-G23)</f>
        <v>0</v>
      </c>
      <c r="J23" s="15" t="str">
        <f>IF(I23="","",IF(I23&lt;=الملخص!$C$5,"ملتزم","متأخر"))</f>
        <v>ملتزم</v>
      </c>
      <c r="K23" s="19" t="inlineStr"/>
    </row>
    <row r="24">
      <c r="A24" s="20" t="n">
        <v>20</v>
      </c>
      <c r="B24" s="20" t="inlineStr">
        <is>
          <t>يوليو</t>
        </is>
      </c>
      <c r="C24" s="20" t="inlineStr">
        <is>
          <t>إرشادات المسافر</t>
        </is>
      </c>
      <c r="D24" s="21" t="inlineStr">
        <is>
          <t>السعودية · Saudi Arabia</t>
        </is>
      </c>
      <c r="E24" s="20" t="inlineStr">
        <is>
          <t>القوانين والتعليمات والجمارك</t>
        </is>
      </c>
      <c r="F24" s="21" t="inlineStr">
        <is>
          <t>تعديل خانة القوانين والتعليمات والجمارك في المسافر الإماراتي للمملكة العربية السعودية على موقع الوزارة+E35</t>
        </is>
      </c>
      <c r="G24" s="17" t="n">
        <v>46218</v>
      </c>
      <c r="H24" s="22" t="n">
        <v>46218</v>
      </c>
      <c r="I24" s="20">
        <f>IF(OR(G24="",H24=""),"",H24-G24)</f>
        <v>0</v>
      </c>
      <c r="J24" s="20" t="str">
        <f>IF(I24="","",IF(I24&lt;=الملخص!$C$5,"ملتزم","متأخر"))</f>
        <v>ملتزم</v>
      </c>
      <c r="K24" s="19" t="inlineStr"/>
    </row>
    <row r="25">
      <c r="A25" s="15" t="n">
        <v>21</v>
      </c>
      <c r="B25" s="15" t="inlineStr">
        <is>
          <t>يوليو</t>
        </is>
      </c>
      <c r="C25" s="15" t="inlineStr">
        <is>
          <t>التنبيهات والتحذيرات</t>
        </is>
      </c>
      <c r="D25" s="16" t="inlineStr">
        <is>
          <t>نيوزيلندا · New Zealand</t>
        </is>
      </c>
      <c r="E25" s="15" t="inlineStr">
        <is>
          <t>نشر تنبيه</t>
        </is>
      </c>
      <c r="F25" s="16" t="inlineStr">
        <is>
          <t>نشر تنبيه لنيوزيلندا على المسافر الإماراتي على موقع الوزارة</t>
        </is>
      </c>
      <c r="G25" s="17" t="n">
        <v>46219</v>
      </c>
      <c r="H25" s="18" t="n">
        <v>46219</v>
      </c>
      <c r="I25" s="15">
        <f>IF(OR(G25="",H25=""),"",H25-G25)</f>
        <v>0</v>
      </c>
      <c r="J25" s="15" t="str">
        <f>IF(I25="","",IF(I25&lt;=الملخص!$C$5,"ملتزم","متأخر"))</f>
        <v>ملتزم</v>
      </c>
      <c r="K25" s="19" t="inlineStr"/>
    </row>
    <row r="26">
      <c r="A26" s="20" t="n">
        <v>22</v>
      </c>
      <c r="B26" s="20" t="inlineStr">
        <is>
          <t>يوليو</t>
        </is>
      </c>
      <c r="C26" s="20" t="inlineStr">
        <is>
          <t>التنبيهات والتحذيرات</t>
        </is>
      </c>
      <c r="D26" s="21" t="inlineStr">
        <is>
          <t>نيوزيلندا · New Zealand</t>
        </is>
      </c>
      <c r="E26" s="20" t="inlineStr">
        <is>
          <t>حذف تنبيه</t>
        </is>
      </c>
      <c r="F26" s="21" t="inlineStr">
        <is>
          <t>حذف تنبيه لنيوزيلندا على المسافر الإماراتي على موقع الوزارة</t>
        </is>
      </c>
      <c r="G26" s="17" t="n">
        <v>46219</v>
      </c>
      <c r="H26" s="22" t="n">
        <v>46219</v>
      </c>
      <c r="I26" s="20">
        <f>IF(OR(G26="",H26=""),"",H26-G26)</f>
        <v>0</v>
      </c>
      <c r="J26" s="20" t="str">
        <f>IF(I26="","",IF(I26&lt;=الملخص!$C$5,"ملتزم","متأخر"))</f>
        <v>ملتزم</v>
      </c>
      <c r="K26" s="19" t="inlineStr"/>
    </row>
    <row r="27">
      <c r="A27" s="15" t="n">
        <v>23</v>
      </c>
      <c r="B27" s="15" t="inlineStr">
        <is>
          <t>يوليو</t>
        </is>
      </c>
      <c r="C27" s="15" t="inlineStr">
        <is>
          <t>التنبيهات والتحذيرات</t>
        </is>
      </c>
      <c r="D27" s="16" t="inlineStr">
        <is>
          <t>المكسيك · Mexico</t>
        </is>
      </c>
      <c r="E27" s="15" t="inlineStr">
        <is>
          <t>نشر تنبيه</t>
        </is>
      </c>
      <c r="F27" s="16" t="inlineStr">
        <is>
          <t>نشر تنبيه في صفحة المسافر الإماراتي للمكسيك على موقع الوزارة باللغتين العربية والإنجليزية</t>
        </is>
      </c>
      <c r="G27" s="17" t="n">
        <v>46220</v>
      </c>
      <c r="H27" s="18" t="n">
        <v>46220</v>
      </c>
      <c r="I27" s="15">
        <f>IF(OR(G27="",H27=""),"",H27-G27)</f>
        <v>0</v>
      </c>
      <c r="J27" s="15" t="str">
        <f>IF(I27="","",IF(I27&lt;=الملخص!$C$5,"ملتزم","متأخر"))</f>
        <v>ملتزم</v>
      </c>
      <c r="K27" s="19" t="inlineStr"/>
    </row>
    <row r="28">
      <c r="A28" s="20" t="n">
        <v>24</v>
      </c>
      <c r="B28" s="20" t="inlineStr">
        <is>
          <t>يوليو</t>
        </is>
      </c>
      <c r="C28" s="20" t="inlineStr">
        <is>
          <t>التنبيهات والتحذيرات</t>
        </is>
      </c>
      <c r="D28" s="21" t="inlineStr">
        <is>
          <t>بولندا · Poland</t>
        </is>
      </c>
      <c r="E28" s="20" t="inlineStr">
        <is>
          <t>نشر تنبيه</t>
        </is>
      </c>
      <c r="F28" s="21" t="inlineStr">
        <is>
          <t>نشر تنبيه لبولندا في صفحة المسافر الإماراتي على موقع الوزارة باللغتين العربية والإنجليزية</t>
        </is>
      </c>
      <c r="G28" s="17" t="n">
        <v>46223</v>
      </c>
      <c r="H28" s="22" t="n">
        <v>46223</v>
      </c>
      <c r="I28" s="20">
        <f>IF(OR(G28="",H28=""),"",H28-G28)</f>
        <v>0</v>
      </c>
      <c r="J28" s="20" t="str">
        <f>IF(I28="","",IF(I28&lt;=الملخص!$C$5,"ملتزم","متأخر"))</f>
        <v>ملتزم</v>
      </c>
      <c r="K28" s="19" t="inlineStr"/>
    </row>
    <row r="29">
      <c r="A29" s="15" t="n">
        <v>25</v>
      </c>
      <c r="B29" s="15" t="inlineStr">
        <is>
          <t>يوليو</t>
        </is>
      </c>
      <c r="C29" s="15" t="inlineStr">
        <is>
          <t>الإعفاءات من التأشيرة</t>
        </is>
      </c>
      <c r="D29" s="16" t="inlineStr">
        <is>
          <t>قيرغيزستان · Kyrgyzstan</t>
        </is>
      </c>
      <c r="E29" s="15" t="inlineStr">
        <is>
          <t>تحديث صفحة الإعفاء</t>
        </is>
      </c>
      <c r="F29" s="16" t="inlineStr">
        <is>
          <t>تعديل خانة معلومات الإعفاء من التأشيرة في صفحة المسافر الإماراتي على موقع الوزارة الخاصة بجمهورية القيرغيزية</t>
        </is>
      </c>
      <c r="G29" s="17" t="n">
        <v>46224</v>
      </c>
      <c r="H29" s="18" t="n">
        <v>46224</v>
      </c>
      <c r="I29" s="15">
        <f>IF(OR(G29="",H29=""),"",H29-G29)</f>
        <v>0</v>
      </c>
      <c r="J29" s="15" t="str">
        <f>IF(I29="","",IF(I29&lt;=الملخص!$C$5,"ملتزم","متأخر"))</f>
        <v>ملتزم</v>
      </c>
      <c r="K29" s="19" t="inlineStr"/>
    </row>
    <row r="30">
      <c r="A30" s="20" t="n">
        <v>26</v>
      </c>
      <c r="B30" s="20" t="inlineStr">
        <is>
          <t>يوليو</t>
        </is>
      </c>
      <c r="C30" s="20" t="inlineStr">
        <is>
          <t>إرشادات المسافر</t>
        </is>
      </c>
      <c r="D30" s="21" t="inlineStr">
        <is>
          <t>قيرغيزستان · Kyrgyzstan</t>
        </is>
      </c>
      <c r="E30" s="20" t="inlineStr">
        <is>
          <t>القوانين والتعليمات والجمارك</t>
        </is>
      </c>
      <c r="F30" s="21" t="inlineStr">
        <is>
          <t>تعديل خانة القوانين والتعليمات والجمارك في صفحة المسافر الإماراتي على موقع الوزارة الخاصة بجمهورية القيرغيزية</t>
        </is>
      </c>
      <c r="G30" s="17" t="n">
        <v>46224</v>
      </c>
      <c r="H30" s="22" t="n">
        <v>46224</v>
      </c>
      <c r="I30" s="20">
        <f>IF(OR(G30="",H30=""),"",H30-G30)</f>
        <v>0</v>
      </c>
      <c r="J30" s="20" t="str">
        <f>IF(I30="","",IF(I30&lt;=الملخص!$C$5,"ملتزم","متأخر"))</f>
        <v>ملتزم</v>
      </c>
      <c r="K30" s="19" t="inlineStr"/>
    </row>
    <row r="31">
      <c r="A31" s="15" t="n">
        <v>27</v>
      </c>
      <c r="B31" s="15" t="inlineStr">
        <is>
          <t>يوليو</t>
        </is>
      </c>
      <c r="C31" s="15" t="inlineStr">
        <is>
          <t>إرشادات المسافر</t>
        </is>
      </c>
      <c r="D31" s="16" t="inlineStr">
        <is>
          <t>قيرغيزستان · Kyrgyzstan</t>
        </is>
      </c>
      <c r="E31" s="15" t="inlineStr">
        <is>
          <t>العادات والتقاليد والعطلات</t>
        </is>
      </c>
      <c r="F31" s="16" t="inlineStr">
        <is>
          <t>تعديل خانة العادات والتقاليد والعطلات في صفحة المسافر الإماراتي على موقع الوزارة الخاصة بجمهورية القيرغيزية</t>
        </is>
      </c>
      <c r="G31" s="17" t="n">
        <v>46224</v>
      </c>
      <c r="H31" s="18" t="n">
        <v>46224</v>
      </c>
      <c r="I31" s="15">
        <f>IF(OR(G31="",H31=""),"",H31-G31)</f>
        <v>0</v>
      </c>
      <c r="J31" s="15" t="str">
        <f>IF(I31="","",IF(I31&lt;=الملخص!$C$5,"ملتزم","متأخر"))</f>
        <v>ملتزم</v>
      </c>
      <c r="K31" s="19" t="inlineStr"/>
    </row>
    <row r="32">
      <c r="A32" s="20" t="n">
        <v>28</v>
      </c>
      <c r="B32" s="20" t="inlineStr">
        <is>
          <t>يوليو</t>
        </is>
      </c>
      <c r="C32" s="20" t="inlineStr">
        <is>
          <t>إرشادات المسافر</t>
        </is>
      </c>
      <c r="D32" s="21" t="inlineStr">
        <is>
          <t>ساحل العاج · Côte d'Ivoire</t>
        </is>
      </c>
      <c r="E32" s="20" t="inlineStr">
        <is>
          <t>إرشادات السفر العامة</t>
        </is>
      </c>
      <c r="F32" s="21" t="inlineStr">
        <is>
          <t>تعديل في خانة إرشادات السفر العامة  في صفحة المسافر الإماراتي على موقع الوزارة الخاصة لكوت ديفوار</t>
        </is>
      </c>
      <c r="G32" s="17" t="n">
        <v>46224</v>
      </c>
      <c r="H32" s="22" t="n">
        <v>46224</v>
      </c>
      <c r="I32" s="20">
        <f>IF(OR(G32="",H32=""),"",H32-G32)</f>
        <v>0</v>
      </c>
      <c r="J32" s="20" t="str">
        <f>IF(I32="","",IF(I32&lt;=الملخص!$C$5,"ملتزم","متأخر"))</f>
        <v>ملتزم</v>
      </c>
      <c r="K32" s="19" t="inlineStr"/>
    </row>
    <row r="33">
      <c r="A33" s="15" t="n">
        <v>29</v>
      </c>
      <c r="B33" s="15" t="inlineStr">
        <is>
          <t>يوليو</t>
        </is>
      </c>
      <c r="C33" s="15" t="inlineStr">
        <is>
          <t>إرشادات المسافر</t>
        </is>
      </c>
      <c r="D33" s="16" t="inlineStr">
        <is>
          <t>ساحل العاج · Côte d'Ivoire</t>
        </is>
      </c>
      <c r="E33" s="15" t="inlineStr">
        <is>
          <t>ارشادات الكوارث والأزمات</t>
        </is>
      </c>
      <c r="F33" s="16" t="inlineStr">
        <is>
          <t>تعديل في خانة إرشادات الصحة الخاصة في صفحة المسافر الإماراتي على موقع الوزارة الخاصة لكوت ديفوار</t>
        </is>
      </c>
      <c r="G33" s="17" t="n">
        <v>46224</v>
      </c>
      <c r="H33" s="18" t="n">
        <v>46224</v>
      </c>
      <c r="I33" s="15">
        <f>IF(OR(G33="",H33=""),"",H33-G33)</f>
        <v>0</v>
      </c>
      <c r="J33" s="15" t="str">
        <f>IF(I33="","",IF(I33&lt;=الملخص!$C$5,"ملتزم","متأخر"))</f>
        <v>ملتزم</v>
      </c>
      <c r="K33" s="19" t="inlineStr"/>
    </row>
    <row r="34">
      <c r="A34" s="20" t="n">
        <v>30</v>
      </c>
      <c r="B34" s="20" t="inlineStr">
        <is>
          <t>يوليو</t>
        </is>
      </c>
      <c r="C34" s="20" t="inlineStr">
        <is>
          <t>إرشادات المسافر</t>
        </is>
      </c>
      <c r="D34" s="21" t="inlineStr">
        <is>
          <t>ساحل العاج · Côte d'Ivoire</t>
        </is>
      </c>
      <c r="E34" s="20" t="inlineStr">
        <is>
          <t>القوانين والتعليمات والجمارك</t>
        </is>
      </c>
      <c r="F34" s="21" t="inlineStr">
        <is>
          <t>تعديل في خانة القوانين والتعليمات والجمارك في صفحة المسافر الإماراتي على موقع الوزارة الخاصة لكوت ديفوار</t>
        </is>
      </c>
      <c r="G34" s="17" t="n">
        <v>46224</v>
      </c>
      <c r="H34" s="22" t="n">
        <v>46224</v>
      </c>
      <c r="I34" s="20">
        <f>IF(OR(G34="",H34=""),"",H34-G34)</f>
        <v>0</v>
      </c>
      <c r="J34" s="20" t="str">
        <f>IF(I34="","",IF(I34&lt;=الملخص!$C$5,"ملتزم","متأخر"))</f>
        <v>ملتزم</v>
      </c>
      <c r="K34" s="19" t="inlineStr"/>
    </row>
    <row r="35">
      <c r="A35" s="15" t="n">
        <v>31</v>
      </c>
      <c r="B35" s="15" t="inlineStr">
        <is>
          <t>يوليو</t>
        </is>
      </c>
      <c r="C35" s="15" t="inlineStr">
        <is>
          <t>إرشادات المسافر</t>
        </is>
      </c>
      <c r="D35" s="16" t="inlineStr">
        <is>
          <t>ساحل العاج · Côte d'Ivoire</t>
        </is>
      </c>
      <c r="E35" s="15" t="inlineStr">
        <is>
          <t>ارشادات الكوارث والأزمات</t>
        </is>
      </c>
      <c r="F35" s="16" t="inlineStr">
        <is>
          <t>تعديل في خانة الكوارث والأزمات في صفحة المسافر الإماراتي على موقع الوزارة الخاصة لكوت ديفوار</t>
        </is>
      </c>
      <c r="G35" s="17" t="n">
        <v>46224</v>
      </c>
      <c r="H35" s="18" t="n">
        <v>46224</v>
      </c>
      <c r="I35" s="15">
        <f>IF(OR(G35="",H35=""),"",H35-G35)</f>
        <v>0</v>
      </c>
      <c r="J35" s="15" t="str">
        <f>IF(I35="","",IF(I35&lt;=الملخص!$C$5,"ملتزم","متأخر"))</f>
        <v>ملتزم</v>
      </c>
      <c r="K35" s="19" t="inlineStr"/>
    </row>
    <row r="36">
      <c r="A36" s="20" t="n">
        <v>32</v>
      </c>
      <c r="B36" s="20" t="inlineStr">
        <is>
          <t>يوليو</t>
        </is>
      </c>
      <c r="C36" s="20" t="inlineStr">
        <is>
          <t>إرشادات المسافر</t>
        </is>
      </c>
      <c r="D36" s="21" t="inlineStr">
        <is>
          <t>ساحل العاج · Côte d'Ivoire</t>
        </is>
      </c>
      <c r="E36" s="20" t="inlineStr">
        <is>
          <t>العادات والتقاليد والعطلات</t>
        </is>
      </c>
      <c r="F36" s="21" t="inlineStr">
        <is>
          <t>تعديل في خانة العادات والتقاليد والعطلات في صفحة المسافر الإماراتي على موقع الوزارة الخاصة لكوت ديفوار</t>
        </is>
      </c>
      <c r="G36" s="17" t="n">
        <v>46224</v>
      </c>
      <c r="H36" s="22" t="n">
        <v>46224</v>
      </c>
      <c r="I36" s="20">
        <f>IF(OR(G36="",H36=""),"",H36-G36)</f>
        <v>0</v>
      </c>
      <c r="J36" s="20" t="str">
        <f>IF(I36="","",IF(I36&lt;=الملخص!$C$5,"ملتزم","متأخر"))</f>
        <v>ملتزم</v>
      </c>
      <c r="K36" s="19" t="inlineStr"/>
    </row>
    <row r="37">
      <c r="A37" s="15" t="n">
        <v>33</v>
      </c>
      <c r="B37" s="15" t="inlineStr">
        <is>
          <t>يوليو</t>
        </is>
      </c>
      <c r="C37" s="15" t="inlineStr">
        <is>
          <t>إرشادات المسافر</t>
        </is>
      </c>
      <c r="D37" s="16" t="inlineStr">
        <is>
          <t>تايلاند · Thailand</t>
        </is>
      </c>
      <c r="E37" s="15" t="inlineStr">
        <is>
          <t>إرشادات السفر العامة</t>
        </is>
      </c>
      <c r="F37" s="16" t="inlineStr">
        <is>
          <t>تعديل خانة إرشادات السفر العامة في صفحة المسافر الإماراتي على موقع الوزارة الخاصة بمملكة تايلاند</t>
        </is>
      </c>
      <c r="G37" s="17" t="n">
        <v>46224</v>
      </c>
      <c r="H37" s="18" t="n">
        <v>46224</v>
      </c>
      <c r="I37" s="15">
        <f>IF(OR(G37="",H37=""),"",H37-G37)</f>
        <v>0</v>
      </c>
      <c r="J37" s="15" t="str">
        <f>IF(I37="","",IF(I37&lt;=الملخص!$C$5,"ملتزم","متأخر"))</f>
        <v>ملتزم</v>
      </c>
      <c r="K37" s="19" t="inlineStr"/>
    </row>
    <row r="38">
      <c r="A38" s="20" t="n">
        <v>34</v>
      </c>
      <c r="B38" s="20" t="inlineStr">
        <is>
          <t>يوليو</t>
        </is>
      </c>
      <c r="C38" s="20" t="inlineStr">
        <is>
          <t>التنبيهات والتحذيرات</t>
        </is>
      </c>
      <c r="D38" s="21" t="inlineStr">
        <is>
          <t>الولايات المتحدة الأمريكية · United States</t>
        </is>
      </c>
      <c r="E38" s="20" t="inlineStr">
        <is>
          <t>نشر تنبيه</t>
        </is>
      </c>
      <c r="F38" s="21" t="inlineStr">
        <is>
          <t>نشر تنبيه أمريكا للمسافر الإماراتي على موقع الوزارة باللغتين العربية والإنجليزية</t>
        </is>
      </c>
      <c r="G38" s="17" t="n">
        <v>46225</v>
      </c>
      <c r="H38" s="22" t="n">
        <v>46225</v>
      </c>
      <c r="I38" s="20">
        <f>IF(OR(G38="",H38=""),"",H38-G38)</f>
        <v>0</v>
      </c>
      <c r="J38" s="20" t="str">
        <f>IF(I38="","",IF(I38&lt;=الملخص!$C$5,"ملتزم","متأخر"))</f>
        <v>ملتزم</v>
      </c>
      <c r="K38" s="19" t="inlineStr"/>
    </row>
    <row r="39">
      <c r="A39" s="15" t="n">
        <v>35</v>
      </c>
      <c r="B39" s="15" t="inlineStr">
        <is>
          <t>يوليو</t>
        </is>
      </c>
      <c r="C39" s="15" t="inlineStr">
        <is>
          <t>التنبيهات والتحذيرات</t>
        </is>
      </c>
      <c r="D39" s="16" t="inlineStr">
        <is>
          <t>فيتنام · Vietnam</t>
        </is>
      </c>
      <c r="E39" s="15" t="inlineStr">
        <is>
          <t>حذف تنبيه</t>
        </is>
      </c>
      <c r="F39" s="16" t="inlineStr">
        <is>
          <t>حذف تنبيه فيتنام من صفحة "المسافر الإماراتي" على موقع الوزارة باللغتين العربية والإنجليزية</t>
        </is>
      </c>
      <c r="G39" s="17" t="n">
        <v>46225</v>
      </c>
      <c r="H39" s="18" t="n">
        <v>46225</v>
      </c>
      <c r="I39" s="15">
        <f>IF(OR(G39="",H39=""),"",H39-G39)</f>
        <v>0</v>
      </c>
      <c r="J39" s="15" t="str">
        <f>IF(I39="","",IF(I39&lt;=الملخص!$C$5,"ملتزم","متأخر"))</f>
        <v>ملتزم</v>
      </c>
      <c r="K39" s="19" t="inlineStr"/>
    </row>
    <row r="40">
      <c r="A40" s="20" t="n">
        <v>36</v>
      </c>
      <c r="B40" s="20" t="inlineStr">
        <is>
          <t>يوليو</t>
        </is>
      </c>
      <c r="C40" s="20" t="inlineStr">
        <is>
          <t>التنبيهات والتحذيرات</t>
        </is>
      </c>
      <c r="D40" s="21" t="inlineStr">
        <is>
          <t>المكسيك · Mexico</t>
        </is>
      </c>
      <c r="E40" s="20" t="inlineStr">
        <is>
          <t>حذف تنبيه</t>
        </is>
      </c>
      <c r="F40" s="21" t="inlineStr">
        <is>
          <t>حذف تنبيه المكسيك من صفحة المسافر الإماراتي على موقع الوزارة باللغتين العربية والإنجليزية</t>
        </is>
      </c>
      <c r="G40" s="17" t="n">
        <v>46225</v>
      </c>
      <c r="H40" s="22" t="n">
        <v>46225</v>
      </c>
      <c r="I40" s="20">
        <f>IF(OR(G40="",H40=""),"",H40-G40)</f>
        <v>0</v>
      </c>
      <c r="J40" s="20" t="str">
        <f>IF(I40="","",IF(I40&lt;=الملخص!$C$5,"ملتزم","متأخر"))</f>
        <v>ملتزم</v>
      </c>
      <c r="K40" s="19" t="inlineStr"/>
    </row>
    <row r="41">
      <c r="A41" s="15" t="n">
        <v>37</v>
      </c>
      <c r="B41" s="15" t="inlineStr">
        <is>
          <t>يوليو</t>
        </is>
      </c>
      <c r="C41" s="15" t="inlineStr">
        <is>
          <t>الإعفاءات من التأشيرة</t>
        </is>
      </c>
      <c r="D41" s="16" t="inlineStr">
        <is>
          <t>تركمانستان · Turkmenistan</t>
        </is>
      </c>
      <c r="E41" s="15" t="inlineStr">
        <is>
          <t>تحديث صفحة الإعفاء</t>
        </is>
      </c>
      <c r="F41" s="16" t="inlineStr">
        <is>
          <t>تحديث أيقونة الإعفاء من التأشيرة لتصبح "معفي من التأشيرة" لجواز المهمة، وذلك في صفحتي اللغة العربية والإنجليزية في صفحة المسافر الإماراتي لدولة تركمانستان على موقع الوزارة</t>
        </is>
      </c>
      <c r="G41" s="17" t="n">
        <v>46225</v>
      </c>
      <c r="H41" s="18" t="n">
        <v>46225</v>
      </c>
      <c r="I41" s="15">
        <f>IF(OR(G41="",H41=""),"",H41-G41)</f>
        <v>0</v>
      </c>
      <c r="J41" s="15" t="str">
        <f>IF(I41="","",IF(I41&lt;=الملخص!$C$5,"ملتزم","متأخر"))</f>
        <v>ملتزم</v>
      </c>
      <c r="K41" s="19" t="inlineStr"/>
    </row>
    <row r="42">
      <c r="A42" s="20" t="n">
        <v>38</v>
      </c>
      <c r="B42" s="20" t="inlineStr">
        <is>
          <t>يوليو</t>
        </is>
      </c>
      <c r="C42" s="20" t="inlineStr">
        <is>
          <t>إرشادات المسافر</t>
        </is>
      </c>
      <c r="D42" s="21" t="inlineStr">
        <is>
          <t>جزر القمر · Comoros</t>
        </is>
      </c>
      <c r="E42" s="20" t="inlineStr">
        <is>
          <t>القوانين والتعليمات والجمارك</t>
        </is>
      </c>
      <c r="F42" s="21" t="inlineStr">
        <is>
          <t>تعديل خانة القوانين والتعليمات والجمارك باللغتين العربية والإنجليزية في صفحة المسافر الإماراتي لجمهورية جزر القمر على موقع الوزارة</t>
        </is>
      </c>
      <c r="G42" s="17" t="n">
        <v>46225</v>
      </c>
      <c r="H42" s="22" t="n">
        <v>46225</v>
      </c>
      <c r="I42" s="20">
        <f>IF(OR(G42="",H42=""),"",H42-G42)</f>
        <v>0</v>
      </c>
      <c r="J42" s="20" t="str">
        <f>IF(I42="","",IF(I42&lt;=الملخص!$C$5,"ملتزم","متأخر"))</f>
        <v>ملتزم</v>
      </c>
      <c r="K42" s="19" t="inlineStr"/>
    </row>
    <row r="43">
      <c r="A43" s="15" t="n">
        <v>39</v>
      </c>
      <c r="B43" s="15" t="inlineStr">
        <is>
          <t>يوليو</t>
        </is>
      </c>
      <c r="C43" s="15" t="inlineStr">
        <is>
          <t>إرشادات المسافر</t>
        </is>
      </c>
      <c r="D43" s="16" t="inlineStr">
        <is>
          <t>جزر القمر · Comoros</t>
        </is>
      </c>
      <c r="E43" s="15" t="inlineStr">
        <is>
          <t>العادات والتقاليد والعطلات</t>
        </is>
      </c>
      <c r="F43" s="16" t="inlineStr">
        <is>
          <t>تعديل خانة العادات والتقاليد والعطلات باللغتين العربية والإنجليزية في صفحة المسافر الإماراتي لجمهورية جزر القمر على موقع الوزارة</t>
        </is>
      </c>
      <c r="G43" s="17" t="n">
        <v>46225</v>
      </c>
      <c r="H43" s="18" t="n">
        <v>46225</v>
      </c>
      <c r="I43" s="15">
        <f>IF(OR(G43="",H43=""),"",H43-G43)</f>
        <v>0</v>
      </c>
      <c r="J43" s="15" t="str">
        <f>IF(I43="","",IF(I43&lt;=الملخص!$C$5,"ملتزم","متأخر"))</f>
        <v>ملتزم</v>
      </c>
      <c r="K43" s="19" t="inlineStr"/>
    </row>
    <row r="44">
      <c r="A44" s="20" t="n">
        <v>40</v>
      </c>
      <c r="B44" s="20" t="inlineStr">
        <is>
          <t>يوليو</t>
        </is>
      </c>
      <c r="C44" s="20" t="inlineStr">
        <is>
          <t>التنبيهات والتحذيرات</t>
        </is>
      </c>
      <c r="D44" s="21" t="inlineStr">
        <is>
          <t>إسبانيا · Spain</t>
        </is>
      </c>
      <c r="E44" s="20" t="inlineStr">
        <is>
          <t>نشر تنبيه</t>
        </is>
      </c>
      <c r="F44" s="21" t="inlineStr">
        <is>
          <t>نشر تنبيه إسبانيا على صفحة المسافر الإماراتي على موقع الوزارة باللغتين العربية والإنجليزية</t>
        </is>
      </c>
      <c r="G44" s="17" t="n">
        <v>46227</v>
      </c>
      <c r="H44" s="22" t="n">
        <v>46227</v>
      </c>
      <c r="I44" s="20">
        <f>IF(OR(G44="",H44=""),"",H44-G44)</f>
        <v>0</v>
      </c>
      <c r="J44" s="20" t="str">
        <f>IF(I44="","",IF(I44&lt;=الملخص!$C$5,"ملتزم","متأخر"))</f>
        <v>ملتزم</v>
      </c>
      <c r="K44" s="19" t="inlineStr"/>
    </row>
    <row r="45">
      <c r="A45" s="15" t="n">
        <v>41</v>
      </c>
      <c r="B45" s="15" t="inlineStr">
        <is>
          <t>يوليو</t>
        </is>
      </c>
      <c r="C45" s="15" t="inlineStr">
        <is>
          <t>إرشادات المسافر</t>
        </is>
      </c>
      <c r="D45" s="16" t="inlineStr">
        <is>
          <t>تايلاند · Thailand</t>
        </is>
      </c>
      <c r="E45" s="15" t="inlineStr">
        <is>
          <t>إرشادات السفر العامة</t>
        </is>
      </c>
      <c r="F45" s="16" t="inlineStr">
        <is>
          <t>تعديل في خانة إرشادات السفر العامة لتايلند في صفحة المسافر الإماراتي باللغة العربية والإنجليزية على موقع الوزارة</t>
        </is>
      </c>
      <c r="G45" s="17" t="n">
        <v>46227</v>
      </c>
      <c r="H45" s="18" t="n">
        <v>46227</v>
      </c>
      <c r="I45" s="15">
        <f>IF(OR(G45="",H45=""),"",H45-G45)</f>
        <v>0</v>
      </c>
      <c r="J45" s="15" t="str">
        <f>IF(I45="","",IF(I45&lt;=الملخص!$C$5,"ملتزم","متأخر"))</f>
        <v>ملتزم</v>
      </c>
      <c r="K45" s="19" t="inlineStr"/>
    </row>
    <row r="46">
      <c r="A46" s="20" t="n">
        <v>42</v>
      </c>
      <c r="B46" s="20" t="inlineStr">
        <is>
          <t>يوليو</t>
        </is>
      </c>
      <c r="C46" s="20" t="inlineStr">
        <is>
          <t>إرشادات المسافر</t>
        </is>
      </c>
      <c r="D46" s="21" t="inlineStr">
        <is>
          <t>تايلاند · Thailand</t>
        </is>
      </c>
      <c r="E46" s="20" t="inlineStr">
        <is>
          <t>إرشادات السفر العامة</t>
        </is>
      </c>
      <c r="F46" s="21" t="inlineStr">
        <is>
          <t>تعديل في خانة إرشادات السفر العامة لتايلند في صفحة المسافر الإماراتي باللغة العربية والإنجليزية على موقع الوزارة</t>
        </is>
      </c>
      <c r="G46" s="17" t="n">
        <v>46228</v>
      </c>
      <c r="H46" s="22" t="n">
        <v>46228</v>
      </c>
      <c r="I46" s="20">
        <f>IF(OR(G46="",H46=""),"",H46-G46)</f>
        <v>0</v>
      </c>
      <c r="J46" s="20" t="str">
        <f>IF(I46="","",IF(I46&lt;=الملخص!$C$5,"ملتزم","متأخر"))</f>
        <v>ملتزم</v>
      </c>
      <c r="K46" s="19" t="inlineStr"/>
    </row>
    <row r="47">
      <c r="A47" s="15" t="n">
        <v>43</v>
      </c>
      <c r="B47" s="15" t="inlineStr">
        <is>
          <t>يوليو</t>
        </is>
      </c>
      <c r="C47" s="15" t="inlineStr">
        <is>
          <t>التنبيهات والتحذيرات</t>
        </is>
      </c>
      <c r="D47" s="16" t="inlineStr">
        <is>
          <t>الولايات المتحدة الأمريكية · United States</t>
        </is>
      </c>
      <c r="E47" s="15" t="inlineStr">
        <is>
          <t>حذف تنبيه</t>
        </is>
      </c>
      <c r="F47" s="16" t="inlineStr">
        <is>
          <t>حذف تنبيه الولايات المتحدة الأمريكية من صفحة المسافر الإماراتي على موقع الوزارة</t>
        </is>
      </c>
      <c r="G47" s="17" t="n">
        <v>46230</v>
      </c>
      <c r="H47" s="18" t="n">
        <v>46230</v>
      </c>
      <c r="I47" s="15">
        <f>IF(OR(G47="",H47=""),"",H47-G47)</f>
        <v>0</v>
      </c>
      <c r="J47" s="15" t="str">
        <f>IF(I47="","",IF(I47&lt;=الملخص!$C$5,"ملتزم","متأخر"))</f>
        <v>ملتزم</v>
      </c>
      <c r="K47" s="19" t="inlineStr"/>
    </row>
    <row r="48">
      <c r="A48" s="20" t="n">
        <v>44</v>
      </c>
      <c r="B48" s="20" t="inlineStr">
        <is>
          <t>يوليو</t>
        </is>
      </c>
      <c r="C48" s="20" t="inlineStr">
        <is>
          <t>الإعفاءات من التأشيرة</t>
        </is>
      </c>
      <c r="D48" s="21" t="inlineStr">
        <is>
          <t>رومانيا · Romania</t>
        </is>
      </c>
      <c r="E48" s="20" t="inlineStr">
        <is>
          <t>تحديث صفحة الإعفاء</t>
        </is>
      </c>
      <c r="F48" s="21" t="inlineStr">
        <is>
          <t>تعديل محتوى خانة الإعفاء من التأشيرة في صفحة المسافر الإماراتي لدولة رومانيا</t>
        </is>
      </c>
      <c r="G48" s="17" t="n">
        <v>46230</v>
      </c>
      <c r="H48" s="22" t="n">
        <v>46230</v>
      </c>
      <c r="I48" s="20">
        <f>IF(OR(G48="",H48=""),"",H48-G48)</f>
        <v>0</v>
      </c>
      <c r="J48" s="20" t="str">
        <f>IF(I48="","",IF(I48&lt;=الملخص!$C$5,"ملتزم","متأخر"))</f>
        <v>ملتزم</v>
      </c>
      <c r="K48" s="19" t="inlineStr"/>
    </row>
    <row r="49">
      <c r="A49" s="15" t="n">
        <v>45</v>
      </c>
      <c r="B49" s="15" t="inlineStr">
        <is>
          <t>يوليو</t>
        </is>
      </c>
      <c r="C49" s="15" t="inlineStr">
        <is>
          <t>إرشادات المسافر</t>
        </is>
      </c>
      <c r="D49" s="16" t="inlineStr">
        <is>
          <t>السعودية · Saudi Arabia</t>
        </is>
      </c>
      <c r="E49" s="15" t="inlineStr">
        <is>
          <t>القوانين والتعليمات والجمارك</t>
        </is>
      </c>
      <c r="F49" s="16" t="inlineStr">
        <is>
          <t>تعديل محتوى قسم القوانين والتعليمات والجمارك السعودية ضمن صفحة المسافر الإماراتي على موقع الوزارة</t>
        </is>
      </c>
      <c r="G49" s="17" t="n">
        <v>46230</v>
      </c>
      <c r="H49" s="18" t="n">
        <v>46230</v>
      </c>
      <c r="I49" s="15">
        <f>IF(OR(G49="",H49=""),"",H49-G49)</f>
        <v>0</v>
      </c>
      <c r="J49" s="15" t="str">
        <f>IF(I49="","",IF(I49&lt;=الملخص!$C$5,"ملتزم","متأخر"))</f>
        <v>ملتزم</v>
      </c>
      <c r="K49" s="19" t="inlineStr"/>
    </row>
    <row r="50">
      <c r="A50" s="20" t="n">
        <v>46</v>
      </c>
      <c r="B50" s="20" t="inlineStr">
        <is>
          <t>يوليو</t>
        </is>
      </c>
      <c r="C50" s="20" t="inlineStr">
        <is>
          <t>إرشادات المسافر</t>
        </is>
      </c>
      <c r="D50" s="21" t="inlineStr">
        <is>
          <t>رومانيا · Romania</t>
        </is>
      </c>
      <c r="E50" s="20" t="inlineStr">
        <is>
          <t>إرشادات السفر العامة</t>
        </is>
      </c>
      <c r="F50" s="21" t="inlineStr">
        <is>
          <t>تعديل محتوى خانة إرشادات السفر العامة في صفحة المسافر الإماراتي لدولة رومانيا</t>
        </is>
      </c>
      <c r="G50" s="17" t="n">
        <v>46230</v>
      </c>
      <c r="H50" s="22" t="n">
        <v>46230</v>
      </c>
      <c r="I50" s="20">
        <f>IF(OR(G50="",H50=""),"",H50-G50)</f>
        <v>0</v>
      </c>
      <c r="J50" s="20" t="str">
        <f>IF(I50="","",IF(I50&lt;=الملخص!$C$5,"ملتزم","متأخر"))</f>
        <v>ملتزم</v>
      </c>
      <c r="K50" s="19" t="inlineStr"/>
    </row>
    <row r="51">
      <c r="A51" s="15" t="n">
        <v>47</v>
      </c>
      <c r="B51" s="15" t="inlineStr">
        <is>
          <t>يوليو</t>
        </is>
      </c>
      <c r="C51" s="15" t="inlineStr">
        <is>
          <t>إرشادات المسافر</t>
        </is>
      </c>
      <c r="D51" s="16" t="inlineStr">
        <is>
          <t>رومانيا · Romania</t>
        </is>
      </c>
      <c r="E51" s="15" t="inlineStr">
        <is>
          <t>القوانين والتعليمات والجمارك</t>
        </is>
      </c>
      <c r="F51" s="16" t="inlineStr">
        <is>
          <t>تعديل محتوى خانة القوانين والتعليمات والجمارك في صفحة المسافر الإماراتي لدولة رومانيا</t>
        </is>
      </c>
      <c r="G51" s="17" t="n">
        <v>46230</v>
      </c>
      <c r="H51" s="18" t="n">
        <v>46230</v>
      </c>
      <c r="I51" s="15">
        <f>IF(OR(G51="",H51=""),"",H51-G51)</f>
        <v>0</v>
      </c>
      <c r="J51" s="15" t="str">
        <f>IF(I51="","",IF(I51&lt;=الملخص!$C$5,"ملتزم","متأخر"))</f>
        <v>ملتزم</v>
      </c>
      <c r="K51" s="19" t="inlineStr"/>
    </row>
    <row r="52">
      <c r="A52" s="20" t="n">
        <v>48</v>
      </c>
      <c r="B52" s="20" t="inlineStr">
        <is>
          <t>يوليو</t>
        </is>
      </c>
      <c r="C52" s="20" t="inlineStr">
        <is>
          <t>إرشادات المسافر</t>
        </is>
      </c>
      <c r="D52" s="21" t="inlineStr">
        <is>
          <t>رومانيا · Romania</t>
        </is>
      </c>
      <c r="E52" s="20" t="inlineStr">
        <is>
          <t>ارشادات الكوارث والأزمات</t>
        </is>
      </c>
      <c r="F52" s="21" t="inlineStr">
        <is>
          <t>تعديل محتوى خانة الكوارث والأزمات في صفحة المسافر الإماراتي لدولة رومانيا</t>
        </is>
      </c>
      <c r="G52" s="17" t="n">
        <v>46230</v>
      </c>
      <c r="H52" s="22" t="n">
        <v>46230</v>
      </c>
      <c r="I52" s="20">
        <f>IF(OR(G52="",H52=""),"",H52-G52)</f>
        <v>0</v>
      </c>
      <c r="J52" s="20" t="str">
        <f>IF(I52="","",IF(I52&lt;=الملخص!$C$5,"ملتزم","متأخر"))</f>
        <v>ملتزم</v>
      </c>
      <c r="K52" s="19" t="inlineStr"/>
    </row>
    <row r="53">
      <c r="A53" s="15" t="n">
        <v>49</v>
      </c>
      <c r="B53" s="15" t="inlineStr">
        <is>
          <t>يوليو</t>
        </is>
      </c>
      <c r="C53" s="15" t="inlineStr">
        <is>
          <t>إرشادات المسافر</t>
        </is>
      </c>
      <c r="D53" s="16" t="inlineStr">
        <is>
          <t>رومانيا · Romania</t>
        </is>
      </c>
      <c r="E53" s="15" t="inlineStr">
        <is>
          <t>العادات والتقاليد والعطلات</t>
        </is>
      </c>
      <c r="F53" s="16" t="inlineStr">
        <is>
          <t>تعديل محتوى خانة العادات والتقاليد والعطلات في صفحة المسافر الإماراتي لدولة رومانيا</t>
        </is>
      </c>
      <c r="G53" s="17" t="n">
        <v>46230</v>
      </c>
      <c r="H53" s="18" t="n">
        <v>46230</v>
      </c>
      <c r="I53" s="15">
        <f>IF(OR(G53="",H53=""),"",H53-G53)</f>
        <v>0</v>
      </c>
      <c r="J53" s="15" t="str">
        <f>IF(I53="","",IF(I53&lt;=الملخص!$C$5,"ملتزم","متأخر"))</f>
        <v>ملتزم</v>
      </c>
      <c r="K53" s="19" t="inlineStr"/>
    </row>
    <row r="54">
      <c r="A54" s="20" t="n">
        <v>50</v>
      </c>
      <c r="B54" s="20" t="inlineStr">
        <is>
          <t>يوليو</t>
        </is>
      </c>
      <c r="C54" s="20" t="inlineStr">
        <is>
          <t>إرشادات المسافر</t>
        </is>
      </c>
      <c r="D54" s="21" t="inlineStr">
        <is>
          <t>أستراليا · Australia</t>
        </is>
      </c>
      <c r="E54" s="20" t="inlineStr">
        <is>
          <t>القوانين والتعليمات والجمارك</t>
        </is>
      </c>
      <c r="F54" s="21" t="inlineStr">
        <is>
          <t>تعديل محتوى خانة القوانين والتعليمات والجمارك في صفحة المسافر الإماراتي لدولة أستراليا</t>
        </is>
      </c>
      <c r="G54" s="17" t="n">
        <v>46230</v>
      </c>
      <c r="H54" s="22" t="n">
        <v>46230</v>
      </c>
      <c r="I54" s="20">
        <f>IF(OR(G54="",H54=""),"",H54-G54)</f>
        <v>0</v>
      </c>
      <c r="J54" s="20" t="str">
        <f>IF(I54="","",IF(I54&lt;=الملخص!$C$5,"ملتزم","متأخر"))</f>
        <v>ملتزم</v>
      </c>
      <c r="K54" s="19" t="inlineStr"/>
    </row>
    <row r="55">
      <c r="A55" s="15" t="n">
        <v>51</v>
      </c>
      <c r="B55" s="15" t="inlineStr">
        <is>
          <t>يوليو</t>
        </is>
      </c>
      <c r="C55" s="15" t="inlineStr">
        <is>
          <t>إرشادات المسافر</t>
        </is>
      </c>
      <c r="D55" s="16" t="inlineStr">
        <is>
          <t>أستراليا · Australia</t>
        </is>
      </c>
      <c r="E55" s="15" t="inlineStr">
        <is>
          <t>العادات والتقاليد والعطلات</t>
        </is>
      </c>
      <c r="F55" s="16" t="inlineStr">
        <is>
          <t>تعديل محتوى خانة العادات والتقاليد والعطلات في صفحة المسافر الإماراتي لدولة أستراليا</t>
        </is>
      </c>
      <c r="G55" s="17" t="n">
        <v>46230</v>
      </c>
      <c r="H55" s="18" t="n">
        <v>46230</v>
      </c>
      <c r="I55" s="15">
        <f>IF(OR(G55="",H55=""),"",H55-G55)</f>
        <v>0</v>
      </c>
      <c r="J55" s="15" t="str">
        <f>IF(I55="","",IF(I55&lt;=الملخص!$C$5,"ملتزم","متأخر"))</f>
        <v>ملتزم</v>
      </c>
      <c r="K55" s="19" t="inlineStr"/>
    </row>
    <row r="56">
      <c r="A56" s="20" t="n">
        <v>52</v>
      </c>
      <c r="B56" s="20" t="inlineStr">
        <is>
          <t>يوليو</t>
        </is>
      </c>
      <c r="C56" s="20" t="inlineStr">
        <is>
          <t>التنبيهات والتحذيرات</t>
        </is>
      </c>
      <c r="D56" s="21" t="inlineStr">
        <is>
          <t>الولايات المتحدة الأمريكية · United States</t>
        </is>
      </c>
      <c r="E56" s="20" t="inlineStr">
        <is>
          <t>نشر تنبيه</t>
        </is>
      </c>
      <c r="F56" s="21" t="inlineStr">
        <is>
          <t>نشر تنبيه في صفحة المسافر الأمريكي على موقع الوزارة</t>
        </is>
      </c>
      <c r="G56" s="17" t="n">
        <v>46232</v>
      </c>
      <c r="H56" s="22" t="n">
        <v>46232</v>
      </c>
      <c r="I56" s="20">
        <f>IF(OR(G56="",H56=""),"",H56-G56)</f>
        <v>0</v>
      </c>
      <c r="J56" s="20" t="str">
        <f>IF(I56="","",IF(I56&lt;=الملخص!$C$5,"ملتزم","متأخر"))</f>
        <v>ملتزم</v>
      </c>
      <c r="K56" s="19" t="inlineStr"/>
    </row>
    <row r="57">
      <c r="A57" s="15" t="n">
        <v>53</v>
      </c>
      <c r="B57" s="15" t="inlineStr">
        <is>
          <t>يوليو</t>
        </is>
      </c>
      <c r="C57" s="15" t="inlineStr">
        <is>
          <t>التنبيهات والتحذيرات</t>
        </is>
      </c>
      <c r="D57" s="16" t="inlineStr">
        <is>
          <t>الولايات المتحدة الأمريكية · United States</t>
        </is>
      </c>
      <c r="E57" s="15" t="inlineStr">
        <is>
          <t>تعديل تنبيه</t>
        </is>
      </c>
      <c r="F57" s="16" t="inlineStr">
        <is>
          <t>تعديل تنبيه في صفحة المسافر الأمريكي على موقع الوزارة</t>
        </is>
      </c>
      <c r="G57" s="17" t="n">
        <v>46232</v>
      </c>
      <c r="H57" s="18" t="n">
        <v>46232</v>
      </c>
      <c r="I57" s="15">
        <f>IF(OR(G57="",H57=""),"",H57-G57)</f>
        <v>0</v>
      </c>
      <c r="J57" s="15" t="str">
        <f>IF(I57="","",IF(I57&lt;=الملخص!$C$5,"ملتزم","متأخر"))</f>
        <v>ملتزم</v>
      </c>
      <c r="K57" s="19" t="inlineStr"/>
    </row>
    <row r="58">
      <c r="A58" s="20" t="n">
        <v>54</v>
      </c>
      <c r="B58" s="20" t="inlineStr">
        <is>
          <t>يوليو</t>
        </is>
      </c>
      <c r="C58" s="20" t="inlineStr">
        <is>
          <t>التنبيهات والتحذيرات</t>
        </is>
      </c>
      <c r="D58" s="21" t="inlineStr">
        <is>
          <t>إسبانيا · Spain</t>
        </is>
      </c>
      <c r="E58" s="20" t="inlineStr">
        <is>
          <t>حذف تنبيه</t>
        </is>
      </c>
      <c r="F58" s="21" t="inlineStr">
        <is>
          <t>حذف تنبيه إسبانيا من صفحة المسافر الإماراتي على موقع الوزارة</t>
        </is>
      </c>
      <c r="G58" s="17" t="n">
        <v>46233</v>
      </c>
      <c r="H58" s="22" t="n">
        <v>46233</v>
      </c>
      <c r="I58" s="20">
        <f>IF(OR(G58="",H58=""),"",H58-G58)</f>
        <v>0</v>
      </c>
      <c r="J58" s="20" t="str">
        <f>IF(I58="","",IF(I58&lt;=الملخص!$C$5,"ملتزم","متأخر"))</f>
        <v>ملتزم</v>
      </c>
      <c r="K58" s="19" t="inlineStr"/>
    </row>
    <row r="59">
      <c r="A59" s="15" t="n">
        <v>55</v>
      </c>
      <c r="B59" s="15" t="inlineStr">
        <is>
          <t>يوليو</t>
        </is>
      </c>
      <c r="C59" s="15" t="inlineStr">
        <is>
          <t>التنبيهات والتحذيرات</t>
        </is>
      </c>
      <c r="D59" s="16" t="inlineStr">
        <is>
          <t>الولايات المتحدة الأمريكية · United States</t>
        </is>
      </c>
      <c r="E59" s="15" t="inlineStr">
        <is>
          <t>حذف تنبيه</t>
        </is>
      </c>
      <c r="F59" s="16" t="inlineStr">
        <is>
          <t>حذف تنبيه الولايات المتحدة الأمريكية من صفحة المسافر الإماراتي على موقع الوزارة</t>
        </is>
      </c>
      <c r="G59" s="17" t="n">
        <v>46233</v>
      </c>
      <c r="H59" s="18" t="n">
        <v>46233</v>
      </c>
      <c r="I59" s="15">
        <f>IF(OR(G59="",H59=""),"",H59-G59)</f>
        <v>0</v>
      </c>
      <c r="J59" s="15" t="str">
        <f>IF(I59="","",IF(I59&lt;=الملخص!$C$5,"ملتزم","متأخر"))</f>
        <v>ملتزم</v>
      </c>
      <c r="K59" s="19" t="inlineStr"/>
    </row>
    <row r="60">
      <c r="A60" s="20" t="n">
        <v>56</v>
      </c>
      <c r="B60" s="20" t="inlineStr">
        <is>
          <t>يوليو</t>
        </is>
      </c>
      <c r="C60" s="20" t="inlineStr">
        <is>
          <t>الإعفاءات من التأشيرة</t>
        </is>
      </c>
      <c r="D60" s="21" t="inlineStr">
        <is>
          <t>الصين · China</t>
        </is>
      </c>
      <c r="E60" s="20" t="inlineStr">
        <is>
          <t>تحديث صفحة الإعفاء</t>
        </is>
      </c>
      <c r="F60" s="21" t="inlineStr">
        <is>
          <t>تعديل خانة معلومات الإعفاء من التأشيرة في صفحة المسافر الإماراتي في الصين</t>
        </is>
      </c>
      <c r="G60" s="17" t="n">
        <v>46233</v>
      </c>
      <c r="H60" s="22" t="n">
        <v>46233</v>
      </c>
      <c r="I60" s="20">
        <f>IF(OR(G60="",H60=""),"",H60-G60)</f>
        <v>0</v>
      </c>
      <c r="J60" s="20" t="str">
        <f>IF(I60="","",IF(I60&lt;=الملخص!$C$5,"ملتزم","متأخر"))</f>
        <v>ملتزم</v>
      </c>
      <c r="K60" s="19" t="inlineStr"/>
    </row>
    <row r="61">
      <c r="A61" s="15" t="n">
        <v>57</v>
      </c>
      <c r="B61" s="15" t="inlineStr">
        <is>
          <t>يوليو</t>
        </is>
      </c>
      <c r="C61" s="15" t="inlineStr">
        <is>
          <t>إرشادات المسافر</t>
        </is>
      </c>
      <c r="D61" s="16" t="inlineStr">
        <is>
          <t>الصين · China</t>
        </is>
      </c>
      <c r="E61" s="15" t="inlineStr">
        <is>
          <t>إرشادات السفر العامة</t>
        </is>
      </c>
      <c r="F61" s="16" t="inlineStr">
        <is>
          <t>تعديل خانة إرشادات السفر العامة في صفحة المسافر الإماراتي في الصين</t>
        </is>
      </c>
      <c r="G61" s="17" t="n">
        <v>46233</v>
      </c>
      <c r="H61" s="18" t="n">
        <v>46233</v>
      </c>
      <c r="I61" s="15">
        <f>IF(OR(G61="",H61=""),"",H61-G61)</f>
        <v>0</v>
      </c>
      <c r="J61" s="15" t="str">
        <f>IF(I61="","",IF(I61&lt;=الملخص!$C$5,"ملتزم","متأخر"))</f>
        <v>ملتزم</v>
      </c>
      <c r="K61" s="19" t="inlineStr"/>
    </row>
    <row r="62">
      <c r="A62" s="20" t="n">
        <v>58</v>
      </c>
      <c r="B62" s="20" t="inlineStr">
        <is>
          <t>يوليو</t>
        </is>
      </c>
      <c r="C62" s="20" t="inlineStr">
        <is>
          <t>إرشادات المسافر</t>
        </is>
      </c>
      <c r="D62" s="21" t="inlineStr">
        <is>
          <t>الصين · China</t>
        </is>
      </c>
      <c r="E62" s="20" t="inlineStr">
        <is>
          <t>القوانين والتعليمات والجمارك</t>
        </is>
      </c>
      <c r="F62" s="21" t="inlineStr">
        <is>
          <t>تعديل خانة القوانين والتعليمات والجمارك في صفحة المسافر الإماراتي في الصين</t>
        </is>
      </c>
      <c r="G62" s="17" t="n">
        <v>46233</v>
      </c>
      <c r="H62" s="22" t="n">
        <v>46233</v>
      </c>
      <c r="I62" s="20">
        <f>IF(OR(G62="",H62=""),"",H62-G62)</f>
        <v>0</v>
      </c>
      <c r="J62" s="20" t="str">
        <f>IF(I62="","",IF(I62&lt;=الملخص!$C$5,"ملتزم","متأخر"))</f>
        <v>ملتزم</v>
      </c>
      <c r="K62" s="19" t="inlineStr"/>
    </row>
    <row r="63">
      <c r="A63" s="15" t="n">
        <v>59</v>
      </c>
      <c r="B63" s="15" t="inlineStr">
        <is>
          <t>يوليو</t>
        </is>
      </c>
      <c r="C63" s="15" t="inlineStr">
        <is>
          <t>إرشادات المسافر</t>
        </is>
      </c>
      <c r="D63" s="16" t="inlineStr">
        <is>
          <t>الصين · China</t>
        </is>
      </c>
      <c r="E63" s="15" t="inlineStr">
        <is>
          <t>العادات والتقاليد والعطلات</t>
        </is>
      </c>
      <c r="F63" s="16" t="inlineStr">
        <is>
          <t>تعديل خانة العادات والتقاليد والعطلات في صفحة المسافر الإماراتي في الصين</t>
        </is>
      </c>
      <c r="G63" s="17" t="n">
        <v>46233</v>
      </c>
      <c r="H63" s="18" t="n">
        <v>46233</v>
      </c>
      <c r="I63" s="15">
        <f>IF(OR(G63="",H63=""),"",H63-G63)</f>
        <v>0</v>
      </c>
      <c r="J63" s="15" t="str">
        <f>IF(I63="","",IF(I63&lt;=الملخص!$C$5,"ملتزم","متأخر"))</f>
        <v>ملتزم</v>
      </c>
      <c r="K63" s="19" t="inlineStr"/>
    </row>
    <row r="64">
      <c r="A64" s="20" t="n">
        <v>60</v>
      </c>
      <c r="B64" s="20" t="inlineStr">
        <is>
          <t>يوليو</t>
        </is>
      </c>
      <c r="C64" s="20" t="inlineStr">
        <is>
          <t>إرشادات المسافر</t>
        </is>
      </c>
      <c r="D64" s="21" t="inlineStr">
        <is>
          <t>بلغاريا · Bulgaria</t>
        </is>
      </c>
      <c r="E64" s="20" t="inlineStr">
        <is>
          <t>القوانين والتعليمات والجمارك</t>
        </is>
      </c>
      <c r="F64" s="21" t="inlineStr">
        <is>
          <t>تعديل خانة القوانين والتعليمات والجمارك في صفحة المسافر الإماراتي لدولة بلغاريا</t>
        </is>
      </c>
      <c r="G64" s="17" t="n">
        <v>46233</v>
      </c>
      <c r="H64" s="22" t="n">
        <v>46233</v>
      </c>
      <c r="I64" s="20">
        <f>IF(OR(G64="",H64=""),"",H64-G64)</f>
        <v>0</v>
      </c>
      <c r="J64" s="20" t="str">
        <f>IF(I64="","",IF(I64&lt;=الملخص!$C$5,"ملتزم","متأخر"))</f>
        <v>ملتزم</v>
      </c>
      <c r="K64" s="19" t="inlineStr"/>
    </row>
    <row r="65">
      <c r="A65" s="15" t="n">
        <v>61</v>
      </c>
      <c r="B65" s="15" t="inlineStr">
        <is>
          <t>يوليو</t>
        </is>
      </c>
      <c r="C65" s="15" t="inlineStr">
        <is>
          <t>إرشادات المسافر</t>
        </is>
      </c>
      <c r="D65" s="16" t="inlineStr">
        <is>
          <t>بلغاريا · Bulgaria</t>
        </is>
      </c>
      <c r="E65" s="15" t="inlineStr">
        <is>
          <t>ارشادات الكوارث والأزمات</t>
        </is>
      </c>
      <c r="F65" s="16" t="inlineStr">
        <is>
          <t>تعديل خانة الكوارث والأزمات في صفحة المسافر الإماراتي لدولة بلغاريا</t>
        </is>
      </c>
      <c r="G65" s="17" t="n">
        <v>46233</v>
      </c>
      <c r="H65" s="18" t="n">
        <v>46233</v>
      </c>
      <c r="I65" s="15">
        <f>IF(OR(G65="",H65=""),"",H65-G65)</f>
        <v>0</v>
      </c>
      <c r="J65" s="15" t="str">
        <f>IF(I65="","",IF(I65&lt;=الملخص!$C$5,"ملتزم","متأخر"))</f>
        <v>ملتزم</v>
      </c>
      <c r="K65" s="19" t="inlineStr"/>
    </row>
    <row r="66">
      <c r="A66" s="20" t="n">
        <v>62</v>
      </c>
      <c r="B66" s="20" t="inlineStr">
        <is>
          <t>يوليو</t>
        </is>
      </c>
      <c r="C66" s="20" t="inlineStr">
        <is>
          <t>إرشادات المسافر</t>
        </is>
      </c>
      <c r="D66" s="21" t="inlineStr">
        <is>
          <t>بلغاريا · Bulgaria</t>
        </is>
      </c>
      <c r="E66" s="20" t="inlineStr">
        <is>
          <t>العادات والتقاليد والعطلات</t>
        </is>
      </c>
      <c r="F66" s="21" t="inlineStr">
        <is>
          <t>تعديل خانة العادات والتقاليد والعطلات في صفحة المسافر الإماراتي لدولة بلغاريا</t>
        </is>
      </c>
      <c r="G66" s="17" t="n">
        <v>46233</v>
      </c>
      <c r="H66" s="22" t="n">
        <v>46233</v>
      </c>
      <c r="I66" s="20">
        <f>IF(OR(G66="",H66=""),"",H66-G66)</f>
        <v>0</v>
      </c>
      <c r="J66" s="20" t="str">
        <f>IF(I66="","",IF(I66&lt;=الملخص!$C$5,"ملتزم","متأخر"))</f>
        <v>ملتزم</v>
      </c>
      <c r="K66" s="19" t="inlineStr"/>
    </row>
    <row r="67">
      <c r="A67" s="15" t="n">
        <v>63</v>
      </c>
      <c r="B67" s="15" t="inlineStr">
        <is>
          <t>يوليو</t>
        </is>
      </c>
      <c r="C67" s="15" t="inlineStr">
        <is>
          <t>إرشادات المسافر</t>
        </is>
      </c>
      <c r="D67" s="16" t="inlineStr">
        <is>
          <t>مولدوفا · Moldova</t>
        </is>
      </c>
      <c r="E67" s="15" t="inlineStr">
        <is>
          <t>إرشادات السفر العامة</t>
        </is>
      </c>
      <c r="F67" s="16" t="inlineStr">
        <is>
          <t>تعديل في إجراءات السفر العامة في صفحة المسافر على موقع الوزارة لمولدوفا</t>
        </is>
      </c>
      <c r="G67" s="17" t="n">
        <v>46234</v>
      </c>
      <c r="H67" s="18" t="n">
        <v>46234</v>
      </c>
      <c r="I67" s="15">
        <f>IF(OR(G67="",H67=""),"",H67-G67)</f>
        <v>0</v>
      </c>
      <c r="J67" s="15" t="str">
        <f>IF(I67="","",IF(I67&lt;=الملخص!$C$5,"ملتزم","متأخر"))</f>
        <v>ملتزم</v>
      </c>
      <c r="K67" s="19" t="inlineStr"/>
    </row>
    <row r="68">
      <c r="A68" s="20" t="n">
        <v>64</v>
      </c>
      <c r="B68" s="20" t="inlineStr">
        <is>
          <t>يوليو</t>
        </is>
      </c>
      <c r="C68" s="20" t="inlineStr">
        <is>
          <t>إرشادات المسافر</t>
        </is>
      </c>
      <c r="D68" s="21" t="inlineStr">
        <is>
          <t>باكستان · Pakistan</t>
        </is>
      </c>
      <c r="E68" s="20" t="inlineStr">
        <is>
          <t>ارشادات الكوارث والأزمات</t>
        </is>
      </c>
      <c r="F68" s="21" t="inlineStr">
        <is>
          <t>تعديل في خانة أرقام الطوارئ ضمن قسم الكوارث والأزمات في صفحة المسافر لباكستان</t>
        </is>
      </c>
      <c r="G68" s="17" t="n">
        <v>46234</v>
      </c>
      <c r="H68" s="22" t="n">
        <v>46234</v>
      </c>
      <c r="I68" s="20">
        <f>IF(OR(G68="",H68=""),"",H68-G68)</f>
        <v>0</v>
      </c>
      <c r="J68" s="20" t="str">
        <f>IF(I68="","",IF(I68&lt;=الملخص!$C$5,"ملتزم","متأخر"))</f>
        <v>ملتزم</v>
      </c>
      <c r="K68" s="19" t="inlineStr"/>
    </row>
    <row r="69">
      <c r="A69" s="15" t="n">
        <v>65</v>
      </c>
      <c r="B69" s="15" t="inlineStr">
        <is>
          <t>يوليو</t>
        </is>
      </c>
      <c r="C69" s="15" t="inlineStr">
        <is>
          <t>إرشادات المسافر</t>
        </is>
      </c>
      <c r="D69" s="16" t="inlineStr">
        <is>
          <t>باكستان · Pakistan</t>
        </is>
      </c>
      <c r="E69" s="15" t="inlineStr">
        <is>
          <t>العادات والتقاليد والعطلات</t>
        </is>
      </c>
      <c r="F69" s="16" t="inlineStr">
        <is>
          <t>تعديل في خانة العادات والتقاليد والعطلات في صفحة المسافر لباكستان</t>
        </is>
      </c>
      <c r="G69" s="17" t="n">
        <v>46234</v>
      </c>
      <c r="H69" s="18" t="n">
        <v>46234</v>
      </c>
      <c r="I69" s="15">
        <f>IF(OR(G69="",H69=""),"",H69-G69)</f>
        <v>0</v>
      </c>
      <c r="J69" s="15" t="str">
        <f>IF(I69="","",IF(I69&lt;=الملخص!$C$5,"ملتزم","متأخر"))</f>
        <v>ملتزم</v>
      </c>
      <c r="K69" s="19" t="inlineStr"/>
    </row>
    <row r="70">
      <c r="A70" s="20" t="n">
        <v>66</v>
      </c>
      <c r="B70" s="20" t="inlineStr">
        <is>
          <t>أغسطس</t>
        </is>
      </c>
      <c r="C70" s="20" t="inlineStr">
        <is>
          <t>التنبيهات والتحذيرات</t>
        </is>
      </c>
      <c r="D70" s="21" t="inlineStr">
        <is>
          <t>الهند · India</t>
        </is>
      </c>
      <c r="E70" s="20" t="inlineStr">
        <is>
          <t>نشر تنبيه</t>
        </is>
      </c>
      <c r="F70" s="21" t="inlineStr">
        <is>
          <t>نشر تنبيه الهند في صفحة المسافر على موقع الوزارة</t>
        </is>
      </c>
      <c r="G70" s="17" t="n">
        <v>46235</v>
      </c>
      <c r="H70" s="22" t="n">
        <v>46235</v>
      </c>
      <c r="I70" s="20">
        <f>IF(OR(G70="",H70=""),"",H70-G70)</f>
        <v>0</v>
      </c>
      <c r="J70" s="20" t="str">
        <f>IF(I70="","",IF(I70&lt;=الملخص!$C$5,"ملتزم","متأخر"))</f>
        <v>ملتزم</v>
      </c>
      <c r="K70" s="19" t="inlineStr"/>
    </row>
    <row r="71">
      <c r="A71" s="15" t="n">
        <v>67</v>
      </c>
      <c r="B71" s="15" t="inlineStr">
        <is>
          <t>أغسطس</t>
        </is>
      </c>
      <c r="C71" s="15" t="inlineStr">
        <is>
          <t>إرشادات المسافر</t>
        </is>
      </c>
      <c r="D71" s="16" t="inlineStr">
        <is>
          <t>الكويت · Kuwait</t>
        </is>
      </c>
      <c r="E71" s="15" t="inlineStr">
        <is>
          <t>تحديث عام</t>
        </is>
      </c>
      <c r="F71" s="16" t="inlineStr">
        <is>
          <t>تعديل صفحة المسافر الإماراتي لدولة الكويت على موقع الوزارة باللغتين العربية والإنجليزية</t>
        </is>
      </c>
      <c r="G71" s="17" t="n">
        <v>46237</v>
      </c>
      <c r="H71" s="18" t="n">
        <v>46237</v>
      </c>
      <c r="I71" s="15">
        <f>IF(OR(G71="",H71=""),"",H71-G71)</f>
        <v>0</v>
      </c>
      <c r="J71" s="15" t="str">
        <f>IF(I71="","",IF(I71&lt;=الملخص!$C$5,"ملتزم","متأخر"))</f>
        <v>ملتزم</v>
      </c>
      <c r="K71" s="19" t="inlineStr"/>
    </row>
    <row r="72">
      <c r="A72" s="20" t="n">
        <v>68</v>
      </c>
      <c r="B72" s="20" t="inlineStr">
        <is>
          <t>أغسطس</t>
        </is>
      </c>
      <c r="C72" s="20" t="inlineStr">
        <is>
          <t>التنبيهات والتحذيرات</t>
        </is>
      </c>
      <c r="D72" s="21" t="inlineStr">
        <is>
          <t>بولندا · Poland</t>
        </is>
      </c>
      <c r="E72" s="20" t="inlineStr">
        <is>
          <t>نشر تنبيه</t>
        </is>
      </c>
      <c r="F72" s="21" t="inlineStr">
        <is>
          <t>نشر تنبيه في صفحة المسافر الإماراتي على موقع الوزارة الخاص بـ بولندا</t>
        </is>
      </c>
      <c r="G72" s="17" t="n">
        <v>46238</v>
      </c>
      <c r="H72" s="22" t="n">
        <v>46238</v>
      </c>
      <c r="I72" s="20">
        <f>IF(OR(G72="",H72=""),"",H72-G72)</f>
        <v>0</v>
      </c>
      <c r="J72" s="20" t="str">
        <f>IF(I72="","",IF(I72&lt;=الملخص!$C$5,"ملتزم","متأخر"))</f>
        <v>ملتزم</v>
      </c>
      <c r="K72" s="19" t="inlineStr"/>
    </row>
    <row r="73">
      <c r="A73" s="15" t="n">
        <v>69</v>
      </c>
      <c r="B73" s="15" t="inlineStr">
        <is>
          <t>أغسطس</t>
        </is>
      </c>
      <c r="C73" s="15" t="inlineStr">
        <is>
          <t>التنبيهات والتحذيرات</t>
        </is>
      </c>
      <c r="D73" s="16" t="inlineStr">
        <is>
          <t>اليابان · Japan</t>
        </is>
      </c>
      <c r="E73" s="15" t="inlineStr">
        <is>
          <t>نشر تنبيه</t>
        </is>
      </c>
      <c r="F73" s="16" t="inlineStr">
        <is>
          <t>نشر تنبيه في صفحة المسافر الإماراتي على موقع الوزارة الخاص بـ اليابان</t>
        </is>
      </c>
      <c r="G73" s="17" t="n">
        <v>46238</v>
      </c>
      <c r="H73" s="18" t="n">
        <v>46238</v>
      </c>
      <c r="I73" s="15">
        <f>IF(OR(G73="",H73=""),"",H73-G73)</f>
        <v>0</v>
      </c>
      <c r="J73" s="15" t="str">
        <f>IF(I73="","",IF(I73&lt;=الملخص!$C$5,"ملتزم","متأخر"))</f>
        <v>ملتزم</v>
      </c>
      <c r="K73" s="19" t="inlineStr"/>
    </row>
    <row r="74">
      <c r="A74" s="20" t="n">
        <v>70</v>
      </c>
      <c r="B74" s="20" t="inlineStr">
        <is>
          <t>أغسطس</t>
        </is>
      </c>
      <c r="C74" s="20" t="inlineStr">
        <is>
          <t>التنبيهات والتحذيرات</t>
        </is>
      </c>
      <c r="D74" s="21" t="inlineStr">
        <is>
          <t>سريلانكا · Sri Lanka</t>
        </is>
      </c>
      <c r="E74" s="20" t="inlineStr">
        <is>
          <t>نشر تنبيه</t>
        </is>
      </c>
      <c r="F74" s="21" t="inlineStr">
        <is>
          <t>نشر تنبيه في صفحة المسافر الإماراتي على موقع الوزارة الخاص بـ سريلانكا</t>
        </is>
      </c>
      <c r="G74" s="17" t="n">
        <v>46238</v>
      </c>
      <c r="H74" s="22" t="n">
        <v>46238</v>
      </c>
      <c r="I74" s="20">
        <f>IF(OR(G74="",H74=""),"",H74-G74)</f>
        <v>0</v>
      </c>
      <c r="J74" s="20" t="str">
        <f>IF(I74="","",IF(I74&lt;=الملخص!$C$5,"ملتزم","متأخر"))</f>
        <v>ملتزم</v>
      </c>
      <c r="K74" s="19" t="inlineStr"/>
    </row>
    <row r="75">
      <c r="A75" s="15" t="n">
        <v>71</v>
      </c>
      <c r="B75" s="15" t="inlineStr">
        <is>
          <t>أغسطس</t>
        </is>
      </c>
      <c r="C75" s="15" t="inlineStr">
        <is>
          <t>إرشادات المسافر</t>
        </is>
      </c>
      <c r="D75" s="16" t="inlineStr">
        <is>
          <t>تايلاند · Thailand</t>
        </is>
      </c>
      <c r="E75" s="15" t="inlineStr">
        <is>
          <t>إرشادات السفر العامة</t>
        </is>
      </c>
      <c r="F75" s="16" t="inlineStr">
        <is>
          <t>تعديل في خانة إرشادات السفر العامة في صفحة المسافر الإماراتي على موقع الوزارة باللغة الإنجليزية لمملكة تايلاند</t>
        </is>
      </c>
      <c r="G75" s="17" t="n">
        <v>46238</v>
      </c>
      <c r="H75" s="18" t="n">
        <v>46238</v>
      </c>
      <c r="I75" s="15">
        <f>IF(OR(G75="",H75=""),"",H75-G75)</f>
        <v>0</v>
      </c>
      <c r="J75" s="15" t="str">
        <f>IF(I75="","",IF(I75&lt;=الملخص!$C$5,"ملتزم","متأخر"))</f>
        <v>ملتزم</v>
      </c>
      <c r="K75" s="19" t="inlineStr"/>
    </row>
    <row r="76">
      <c r="A76" s="20" t="n">
        <v>72</v>
      </c>
      <c r="B76" s="20" t="inlineStr">
        <is>
          <t>أغسطس</t>
        </is>
      </c>
      <c r="C76" s="20" t="inlineStr">
        <is>
          <t>إرشادات المسافر</t>
        </is>
      </c>
      <c r="D76" s="21" t="inlineStr">
        <is>
          <t>بولندا · Poland</t>
        </is>
      </c>
      <c r="E76" s="20" t="inlineStr">
        <is>
          <t>تحديث عام</t>
        </is>
      </c>
      <c r="F76" s="21" t="inlineStr">
        <is>
          <t>تعديل صفحة المسافر الإماراتي على موقع الوزارة الخاص بـ بولندا</t>
        </is>
      </c>
      <c r="G76" s="17" t="n">
        <v>46238</v>
      </c>
      <c r="H76" s="22" t="n">
        <v>46238</v>
      </c>
      <c r="I76" s="20">
        <f>IF(OR(G76="",H76=""),"",H76-G76)</f>
        <v>0</v>
      </c>
      <c r="J76" s="20" t="str">
        <f>IF(I76="","",IF(I76&lt;=الملخص!$C$5,"ملتزم","متأخر"))</f>
        <v>ملتزم</v>
      </c>
      <c r="K76" s="19" t="inlineStr"/>
    </row>
    <row r="77">
      <c r="A77" s="15" t="n">
        <v>73</v>
      </c>
      <c r="B77" s="15" t="inlineStr">
        <is>
          <t>أغسطس</t>
        </is>
      </c>
      <c r="C77" s="15" t="inlineStr">
        <is>
          <t>إرشادات المسافر</t>
        </is>
      </c>
      <c r="D77" s="16" t="inlineStr">
        <is>
          <t>كوريا الجنوبية · South Korea</t>
        </is>
      </c>
      <c r="E77" s="15" t="inlineStr">
        <is>
          <t>القوانين والجمارك</t>
        </is>
      </c>
      <c r="F77" s="16" t="inlineStr">
        <is>
          <t>تعديل خانة القوانين والجمارك في صفحة المسافر الإماراتي لجمهورية كوريا على موقع الوزارة</t>
        </is>
      </c>
      <c r="G77" s="17" t="n">
        <v>46239</v>
      </c>
      <c r="H77" s="18" t="n">
        <v>46239</v>
      </c>
      <c r="I77" s="15">
        <f>IF(OR(G77="",H77=""),"",H77-G77)</f>
        <v>0</v>
      </c>
      <c r="J77" s="15" t="str">
        <f>IF(I77="","",IF(I77&lt;=الملخص!$C$5,"ملتزم","متأخر"))</f>
        <v>ملتزم</v>
      </c>
      <c r="K77" s="19" t="inlineStr"/>
    </row>
    <row r="78">
      <c r="A78" s="20" t="n">
        <v>74</v>
      </c>
      <c r="B78" s="20" t="inlineStr">
        <is>
          <t>أغسطس</t>
        </is>
      </c>
      <c r="C78" s="20" t="inlineStr">
        <is>
          <t>إرشادات المسافر</t>
        </is>
      </c>
      <c r="D78" s="21" t="inlineStr">
        <is>
          <t>كوريا الجنوبية · South Korea</t>
        </is>
      </c>
      <c r="E78" s="20" t="inlineStr">
        <is>
          <t>العادات والتقاليد والعطلات</t>
        </is>
      </c>
      <c r="F78" s="21" t="inlineStr">
        <is>
          <t>تعديل خانة العادات والتقاليد والعطلات في صفحة المسافر الإماراتي لجمهورية كوريا على موقع الوزارة</t>
        </is>
      </c>
      <c r="G78" s="17" t="n">
        <v>46239</v>
      </c>
      <c r="H78" s="22" t="n">
        <v>46239</v>
      </c>
      <c r="I78" s="20">
        <f>IF(OR(G78="",H78=""),"",H78-G78)</f>
        <v>0</v>
      </c>
      <c r="J78" s="20" t="str">
        <f>IF(I78="","",IF(I78&lt;=الملخص!$C$5,"ملتزم","متأخر"))</f>
        <v>ملتزم</v>
      </c>
      <c r="K78" s="19" t="inlineStr"/>
    </row>
    <row r="79">
      <c r="A79" s="15" t="n">
        <v>75</v>
      </c>
      <c r="B79" s="15" t="inlineStr">
        <is>
          <t>أغسطس</t>
        </is>
      </c>
      <c r="C79" s="15" t="inlineStr">
        <is>
          <t>إرشادات المسافر</t>
        </is>
      </c>
      <c r="D79" s="16" t="inlineStr">
        <is>
          <t>الجبل الأسود · Montenegro</t>
        </is>
      </c>
      <c r="E79" s="15" t="inlineStr">
        <is>
          <t>العادات والتقاليد</t>
        </is>
      </c>
      <c r="F79" s="16" t="inlineStr">
        <is>
          <t>تعديل خانة العادات والتقاليد في صفحة المسافر الإماراتي على موقع الوزارة لـ مونتينيغرو</t>
        </is>
      </c>
      <c r="G79" s="17" t="n">
        <v>46240</v>
      </c>
      <c r="H79" s="18" t="n">
        <v>46240</v>
      </c>
      <c r="I79" s="15">
        <f>IF(OR(G79="",H79=""),"",H79-G79)</f>
        <v>0</v>
      </c>
      <c r="J79" s="15" t="str">
        <f>IF(I79="","",IF(I79&lt;=الملخص!$C$5,"ملتزم","متأخر"))</f>
        <v>ملتزم</v>
      </c>
      <c r="K79" s="19" t="inlineStr"/>
    </row>
    <row r="80">
      <c r="A80" s="20" t="n">
        <v>76</v>
      </c>
      <c r="B80" s="20" t="inlineStr">
        <is>
          <t>أغسطس</t>
        </is>
      </c>
      <c r="C80" s="20" t="inlineStr">
        <is>
          <t>التنبيهات والتحذيرات</t>
        </is>
      </c>
      <c r="D80" s="21" t="inlineStr">
        <is>
          <t>الصين · China</t>
        </is>
      </c>
      <c r="E80" s="20" t="inlineStr">
        <is>
          <t>نشر تنبيه</t>
        </is>
      </c>
      <c r="F80" s="21" t="inlineStr">
        <is>
          <t>نشر تنبيه في صفحة المسافر الإماراتي على موقع الوزارة الخاص بـ الصين</t>
        </is>
      </c>
      <c r="G80" s="17" t="n">
        <v>46243</v>
      </c>
      <c r="H80" s="22" t="n">
        <v>46243</v>
      </c>
      <c r="I80" s="20">
        <f>IF(OR(G80="",H80=""),"",H80-G80)</f>
        <v>0</v>
      </c>
      <c r="J80" s="20" t="str">
        <f>IF(I80="","",IF(I80&lt;=الملخص!$C$5,"ملتزم","متأخر"))</f>
        <v>ملتزم</v>
      </c>
      <c r="K80" s="19" t="inlineStr"/>
    </row>
    <row r="81">
      <c r="A81" s="15" t="n">
        <v>77</v>
      </c>
      <c r="B81" s="15" t="inlineStr">
        <is>
          <t>أغسطس</t>
        </is>
      </c>
      <c r="C81" s="15" t="inlineStr">
        <is>
          <t>التنبيهات والتحذيرات</t>
        </is>
      </c>
      <c r="D81" s="16" t="inlineStr">
        <is>
          <t>اليابان · Japan</t>
        </is>
      </c>
      <c r="E81" s="15" t="inlineStr">
        <is>
          <t>حذف تنبيه</t>
        </is>
      </c>
      <c r="F81" s="16" t="inlineStr">
        <is>
          <t>حذف تنبيه من صفحة المسافر الإماراتي على موقع الوزارة الخاص بـ اليابان</t>
        </is>
      </c>
      <c r="G81" s="17" t="n">
        <v>46243</v>
      </c>
      <c r="H81" s="18" t="n">
        <v>46243</v>
      </c>
      <c r="I81" s="15">
        <f>IF(OR(G81="",H81=""),"",H81-G81)</f>
        <v>0</v>
      </c>
      <c r="J81" s="15" t="str">
        <f>IF(I81="","",IF(I81&lt;=الملخص!$C$5,"ملتزم","متأخر"))</f>
        <v>ملتزم</v>
      </c>
      <c r="K81" s="19" t="inlineStr"/>
    </row>
    <row r="82">
      <c r="A82" s="20" t="n">
        <v>78</v>
      </c>
      <c r="B82" s="20" t="inlineStr">
        <is>
          <t>أغسطس</t>
        </is>
      </c>
      <c r="C82" s="20" t="inlineStr">
        <is>
          <t>التنبيهات والتحذيرات</t>
        </is>
      </c>
      <c r="D82" s="21" t="inlineStr">
        <is>
          <t>اليابان · Japan</t>
        </is>
      </c>
      <c r="E82" s="20" t="inlineStr">
        <is>
          <t>نشر تنبيه</t>
        </is>
      </c>
      <c r="F82" s="21" t="inlineStr">
        <is>
          <t>نشر تنبيه في صفحة المسافر الإماراتي على موقع الوزارة الخاص بـ اليابان</t>
        </is>
      </c>
      <c r="G82" s="17" t="n">
        <v>46243</v>
      </c>
      <c r="H82" s="22" t="n">
        <v>46243</v>
      </c>
      <c r="I82" s="20">
        <f>IF(OR(G82="",H82=""),"",H82-G82)</f>
        <v>0</v>
      </c>
      <c r="J82" s="20" t="str">
        <f>IF(I82="","",IF(I82&lt;=الملخص!$C$5,"ملتزم","متأخر"))</f>
        <v>ملتزم</v>
      </c>
      <c r="K82" s="19" t="inlineStr"/>
    </row>
    <row r="83">
      <c r="A83" s="15" t="n">
        <v>79</v>
      </c>
      <c r="B83" s="15" t="inlineStr">
        <is>
          <t>أغسطس</t>
        </is>
      </c>
      <c r="C83" s="15" t="inlineStr">
        <is>
          <t>التنبيهات والتحذيرات</t>
        </is>
      </c>
      <c r="D83" s="16" t="inlineStr">
        <is>
          <t>كولومبيا · Colombia</t>
        </is>
      </c>
      <c r="E83" s="15" t="inlineStr">
        <is>
          <t>نشر تنبيه</t>
        </is>
      </c>
      <c r="F83" s="16" t="inlineStr">
        <is>
          <t>نشر تنبيه في صفحة المسافر الإماراتي على موقع الوزارة لـ كولومبيا</t>
        </is>
      </c>
      <c r="G83" s="17" t="n">
        <v>46244</v>
      </c>
      <c r="H83" s="18" t="n">
        <v>46244</v>
      </c>
      <c r="I83" s="15">
        <f>IF(OR(G83="",H83=""),"",H83-G83)</f>
        <v>0</v>
      </c>
      <c r="J83" s="15" t="str">
        <f>IF(I83="","",IF(I83&lt;=الملخص!$C$5,"ملتزم","متأخر"))</f>
        <v>ملتزم</v>
      </c>
      <c r="K83" s="19" t="inlineStr"/>
    </row>
    <row r="84">
      <c r="A84" s="20" t="n">
        <v>80</v>
      </c>
      <c r="B84" s="20" t="inlineStr">
        <is>
          <t>أغسطس</t>
        </is>
      </c>
      <c r="C84" s="20" t="inlineStr">
        <is>
          <t>إرشادات المسافر</t>
        </is>
      </c>
      <c r="D84" s="21" t="inlineStr">
        <is>
          <t>جنوب أفريقيا · South Africa</t>
        </is>
      </c>
      <c r="E84" s="20" t="inlineStr">
        <is>
          <t>إرشادات السفر العامة</t>
        </is>
      </c>
      <c r="F84" s="21" t="inlineStr">
        <is>
          <t>تعديل خانة إرشادات السفر العامة في صفحة المسافر الإماراتي الخاصة بـ جنوب أفريقيا على موقع الوزارة باللغتين العربية والإنجليزية</t>
        </is>
      </c>
      <c r="G84" s="17" t="n">
        <v>46244</v>
      </c>
      <c r="H84" s="22" t="n">
        <v>46244</v>
      </c>
      <c r="I84" s="20">
        <f>IF(OR(G84="",H84=""),"",H84-G84)</f>
        <v>0</v>
      </c>
      <c r="J84" s="20" t="str">
        <f>IF(I84="","",IF(I84&lt;=الملخص!$C$5,"ملتزم","متأخر"))</f>
        <v>ملتزم</v>
      </c>
      <c r="K84" s="19" t="inlineStr"/>
    </row>
    <row r="85">
      <c r="A85" s="15" t="n">
        <v>81</v>
      </c>
      <c r="B85" s="15" t="inlineStr">
        <is>
          <t>أغسطس</t>
        </is>
      </c>
      <c r="C85" s="15" t="inlineStr">
        <is>
          <t>التنبيهات والتحذيرات</t>
        </is>
      </c>
      <c r="D85" s="16" t="inlineStr">
        <is>
          <t>سريلانكا · Sri Lanka</t>
        </is>
      </c>
      <c r="E85" s="15" t="inlineStr">
        <is>
          <t>حذف تنبيه</t>
        </is>
      </c>
      <c r="F85" s="16" t="inlineStr">
        <is>
          <t>حذف تنبيه من صفحة المسافر الإماراتي على موقع الوزارة لـ سريلانكا</t>
        </is>
      </c>
      <c r="G85" s="17" t="n">
        <v>46245</v>
      </c>
      <c r="H85" s="18" t="n">
        <v>46245</v>
      </c>
      <c r="I85" s="15">
        <f>IF(OR(G85="",H85=""),"",H85-G85)</f>
        <v>0</v>
      </c>
      <c r="J85" s="15" t="str">
        <f>IF(I85="","",IF(I85&lt;=الملخص!$C$5,"ملتزم","متأخر"))</f>
        <v>ملتزم</v>
      </c>
      <c r="K85" s="19" t="inlineStr"/>
    </row>
    <row r="86">
      <c r="A86" s="20" t="n">
        <v>82</v>
      </c>
      <c r="B86" s="20" t="inlineStr">
        <is>
          <t>أغسطس</t>
        </is>
      </c>
      <c r="C86" s="20" t="inlineStr">
        <is>
          <t>التنبيهات والتحذيرات</t>
        </is>
      </c>
      <c r="D86" s="21" t="inlineStr">
        <is>
          <t>إسبانيا · Spain</t>
        </is>
      </c>
      <c r="E86" s="20" t="inlineStr">
        <is>
          <t>نشر تنبيه</t>
        </is>
      </c>
      <c r="F86" s="21" t="inlineStr">
        <is>
          <t>نشر تنبيه في صفحة المسافر الإماراتي على موقع الوزارة لـ إسبانيا</t>
        </is>
      </c>
      <c r="G86" s="17" t="n">
        <v>46245</v>
      </c>
      <c r="H86" s="22" t="n">
        <v>46245</v>
      </c>
      <c r="I86" s="20">
        <f>IF(OR(G86="",H86=""),"",H86-G86)</f>
        <v>0</v>
      </c>
      <c r="J86" s="20" t="str">
        <f>IF(I86="","",IF(I86&lt;=الملخص!$C$5,"ملتزم","متأخر"))</f>
        <v>ملتزم</v>
      </c>
      <c r="K86" s="19" t="inlineStr"/>
    </row>
    <row r="87">
      <c r="A87" s="15" t="n">
        <v>83</v>
      </c>
      <c r="B87" s="15" t="inlineStr">
        <is>
          <t>أغسطس</t>
        </is>
      </c>
      <c r="C87" s="15" t="inlineStr">
        <is>
          <t>التنبيهات والتحذيرات</t>
        </is>
      </c>
      <c r="D87" s="16" t="inlineStr">
        <is>
          <t>بولندا · Poland</t>
        </is>
      </c>
      <c r="E87" s="15" t="inlineStr">
        <is>
          <t>حذف تنبيه</t>
        </is>
      </c>
      <c r="F87" s="16" t="inlineStr">
        <is>
          <t>حذف تنبيه من صفحة المسافر الإماراتي على موقع الوزارة لـ بولندا</t>
        </is>
      </c>
      <c r="G87" s="17" t="n">
        <v>46245</v>
      </c>
      <c r="H87" s="18" t="n">
        <v>46245</v>
      </c>
      <c r="I87" s="15">
        <f>IF(OR(G87="",H87=""),"",H87-G87)</f>
        <v>0</v>
      </c>
      <c r="J87" s="15" t="str">
        <f>IF(I87="","",IF(I87&lt;=الملخص!$C$5,"ملتزم","متأخر"))</f>
        <v>ملتزم</v>
      </c>
      <c r="K87" s="19" t="inlineStr"/>
    </row>
    <row r="88">
      <c r="A88" s="20" t="n">
        <v>84</v>
      </c>
      <c r="B88" s="20" t="inlineStr">
        <is>
          <t>أغسطس</t>
        </is>
      </c>
      <c r="C88" s="20" t="inlineStr">
        <is>
          <t>التنبيهات والتحذيرات</t>
        </is>
      </c>
      <c r="D88" s="21" t="inlineStr">
        <is>
          <t>اليابان · Japan</t>
        </is>
      </c>
      <c r="E88" s="20" t="inlineStr">
        <is>
          <t>حذف تنبيه</t>
        </is>
      </c>
      <c r="F88" s="21" t="inlineStr">
        <is>
          <t>حذف تنبيه اليابان من صفحة المسافر الإماراتي على موقع الوزارة</t>
        </is>
      </c>
      <c r="G88" s="17" t="n">
        <v>46246</v>
      </c>
      <c r="H88" s="22" t="n">
        <v>46246</v>
      </c>
      <c r="I88" s="20">
        <f>IF(OR(G88="",H88=""),"",H88-G88)</f>
        <v>0</v>
      </c>
      <c r="J88" s="20" t="str">
        <f>IF(I88="","",IF(I88&lt;=الملخص!$C$5,"ملتزم","متأخر"))</f>
        <v>ملتزم</v>
      </c>
      <c r="K88" s="19" t="inlineStr"/>
    </row>
    <row r="89">
      <c r="A89" s="15" t="n">
        <v>85</v>
      </c>
      <c r="B89" s="15" t="inlineStr">
        <is>
          <t>أغسطس</t>
        </is>
      </c>
      <c r="C89" s="15" t="inlineStr">
        <is>
          <t>التنبيهات والتحذيرات</t>
        </is>
      </c>
      <c r="D89" s="16" t="inlineStr">
        <is>
          <t>الهند · India</t>
        </is>
      </c>
      <c r="E89" s="15" t="inlineStr">
        <is>
          <t>حذف تنبيه</t>
        </is>
      </c>
      <c r="F89" s="16" t="inlineStr">
        <is>
          <t>حذف تنبيه الهند من صفحة المسافر الإماراتي على موقع الوزارة</t>
        </is>
      </c>
      <c r="G89" s="17" t="n">
        <v>46246</v>
      </c>
      <c r="H89" s="18" t="n">
        <v>46246</v>
      </c>
      <c r="I89" s="15">
        <f>IF(OR(G89="",H89=""),"",H89-G89)</f>
        <v>0</v>
      </c>
      <c r="J89" s="15" t="str">
        <f>IF(I89="","",IF(I89&lt;=الملخص!$C$5,"ملتزم","متأخر"))</f>
        <v>ملتزم</v>
      </c>
      <c r="K89" s="19" t="inlineStr"/>
    </row>
    <row r="90">
      <c r="A90" s="20" t="n">
        <v>86</v>
      </c>
      <c r="B90" s="20" t="inlineStr">
        <is>
          <t>أغسطس</t>
        </is>
      </c>
      <c r="C90" s="20" t="inlineStr">
        <is>
          <t>التنبيهات والتحذيرات</t>
        </is>
      </c>
      <c r="D90" s="21" t="inlineStr">
        <is>
          <t>ماليزيا · Malaysia</t>
        </is>
      </c>
      <c r="E90" s="20" t="inlineStr">
        <is>
          <t>نشر تنبيه</t>
        </is>
      </c>
      <c r="F90" s="21" t="inlineStr">
        <is>
          <t>نشر تنبيه السفر في صفحة المسافر الإماراتي على موقع الوزارة لـ ماليزيا</t>
        </is>
      </c>
      <c r="G90" s="17" t="n">
        <v>46247</v>
      </c>
      <c r="H90" s="22" t="n">
        <v>46247</v>
      </c>
      <c r="I90" s="20">
        <f>IF(OR(G90="",H90=""),"",H90-G90)</f>
        <v>0</v>
      </c>
      <c r="J90" s="20" t="str">
        <f>IF(I90="","",IF(I90&lt;=الملخص!$C$5,"ملتزم","متأخر"))</f>
        <v>ملتزم</v>
      </c>
      <c r="K90" s="19" t="inlineStr"/>
    </row>
    <row r="91">
      <c r="A91" s="15" t="n">
        <v>87</v>
      </c>
      <c r="B91" s="15" t="inlineStr">
        <is>
          <t>أغسطس</t>
        </is>
      </c>
      <c r="C91" s="15" t="inlineStr">
        <is>
          <t>الإعفاءات من التأشيرة</t>
        </is>
      </c>
      <c r="D91" s="16" t="inlineStr">
        <is>
          <t>جنوب أفريقيا · South Africa</t>
        </is>
      </c>
      <c r="E91" s="15" t="inlineStr">
        <is>
          <t>تحديث صفحة الإعفاء</t>
        </is>
      </c>
      <c r="F91" s="16" t="inlineStr">
        <is>
          <t>تعديل خانة الإعفاءات من التأشيرة في صفحة المسافر الإماراتي لدولة جنوب أفريقيا</t>
        </is>
      </c>
      <c r="G91" s="17" t="n">
        <v>46248</v>
      </c>
      <c r="H91" s="18" t="n">
        <v>46248</v>
      </c>
      <c r="I91" s="15">
        <f>IF(OR(G91="",H91=""),"",H91-G91)</f>
        <v>0</v>
      </c>
      <c r="J91" s="15" t="str">
        <f>IF(I91="","",IF(I91&lt;=الملخص!$C$5,"ملتزم","متأخر"))</f>
        <v>ملتزم</v>
      </c>
      <c r="K91" s="19" t="inlineStr"/>
    </row>
    <row r="92">
      <c r="A92" s="20" t="n">
        <v>88</v>
      </c>
      <c r="B92" s="20" t="inlineStr">
        <is>
          <t>أغسطس</t>
        </is>
      </c>
      <c r="C92" s="20" t="inlineStr">
        <is>
          <t>التنبيهات والتحذيرات</t>
        </is>
      </c>
      <c r="D92" s="21" t="inlineStr">
        <is>
          <t>المملكة المتحدة · United Kingdom</t>
        </is>
      </c>
      <c r="E92" s="20" t="inlineStr">
        <is>
          <t>نشر تنبيه</t>
        </is>
      </c>
      <c r="F92" s="21" t="inlineStr">
        <is>
          <t>نشر تنبيه المسافر الإماراتي للمملكة المتحدة باللغتين العربية والإنجليزية</t>
        </is>
      </c>
      <c r="G92" s="17" t="n">
        <v>46249</v>
      </c>
      <c r="H92" s="22" t="n">
        <v>46249</v>
      </c>
      <c r="I92" s="20">
        <f>IF(OR(G92="",H92=""),"",H92-G92)</f>
        <v>0</v>
      </c>
      <c r="J92" s="20" t="str">
        <f>IF(I92="","",IF(I92&lt;=الملخص!$C$5,"ملتزم","متأخر"))</f>
        <v>ملتزم</v>
      </c>
      <c r="K92" s="19" t="inlineStr"/>
    </row>
    <row r="93">
      <c r="A93" s="15" t="n">
        <v>89</v>
      </c>
      <c r="B93" s="15" t="inlineStr">
        <is>
          <t>أغسطس</t>
        </is>
      </c>
      <c r="C93" s="15" t="inlineStr">
        <is>
          <t>التنبيهات والتحذيرات</t>
        </is>
      </c>
      <c r="D93" s="16" t="inlineStr">
        <is>
          <t>الصين · China</t>
        </is>
      </c>
      <c r="E93" s="15" t="inlineStr">
        <is>
          <t>حذف تنبيه</t>
        </is>
      </c>
      <c r="F93" s="16" t="inlineStr">
        <is>
          <t>حذف تنبيه الصين من صفحة المسافر الإماراتي باللغتين العربية والإنجليزية</t>
        </is>
      </c>
      <c r="G93" s="17" t="n">
        <v>46249</v>
      </c>
      <c r="H93" s="18" t="n">
        <v>46249</v>
      </c>
      <c r="I93" s="15">
        <f>IF(OR(G93="",H93=""),"",H93-G93)</f>
        <v>0</v>
      </c>
      <c r="J93" s="15" t="str">
        <f>IF(I93="","",IF(I93&lt;=الملخص!$C$5,"ملتزم","متأخر"))</f>
        <v>ملتزم</v>
      </c>
      <c r="K93" s="19" t="inlineStr"/>
    </row>
    <row r="94">
      <c r="A94" s="20" t="n">
        <v>90</v>
      </c>
      <c r="B94" s="20" t="inlineStr">
        <is>
          <t>أغسطس</t>
        </is>
      </c>
      <c r="C94" s="20" t="inlineStr">
        <is>
          <t>التنبيهات والتحذيرات</t>
        </is>
      </c>
      <c r="D94" s="21" t="inlineStr">
        <is>
          <t>إندونيسيا · Indonesia</t>
        </is>
      </c>
      <c r="E94" s="20" t="inlineStr">
        <is>
          <t>نشر تنبيه</t>
        </is>
      </c>
      <c r="F94" s="21" t="inlineStr">
        <is>
          <t>نشر تنبيه المسافر الإماراتي لإندونيسيا باللغتين العربية والإنجليزية</t>
        </is>
      </c>
      <c r="G94" s="17" t="n">
        <v>46249</v>
      </c>
      <c r="H94" s="22" t="n">
        <v>46249</v>
      </c>
      <c r="I94" s="20">
        <f>IF(OR(G94="",H94=""),"",H94-G94)</f>
        <v>0</v>
      </c>
      <c r="J94" s="20" t="str">
        <f>IF(I94="","",IF(I94&lt;=الملخص!$C$5,"ملتزم","متأخر"))</f>
        <v>ملتزم</v>
      </c>
      <c r="K94" s="19" t="inlineStr"/>
    </row>
    <row r="95">
      <c r="A95" s="15" t="n">
        <v>91</v>
      </c>
      <c r="B95" s="15" t="inlineStr">
        <is>
          <t>أغسطس</t>
        </is>
      </c>
      <c r="C95" s="15" t="inlineStr">
        <is>
          <t>التنبيهات والتحذيرات</t>
        </is>
      </c>
      <c r="D95" s="16" t="inlineStr">
        <is>
          <t>الولايات المتحدة الأمريكية · United States</t>
        </is>
      </c>
      <c r="E95" s="15" t="inlineStr">
        <is>
          <t>نشر تنبيه</t>
        </is>
      </c>
      <c r="F95" s="16" t="inlineStr">
        <is>
          <t>نشر تنبيه المسافر الإماراتي للولايات المتحدة الأمريكية باللغتين العربية والإنجليزية</t>
        </is>
      </c>
      <c r="G95" s="17" t="n">
        <v>46249</v>
      </c>
      <c r="H95" s="18" t="n">
        <v>46249</v>
      </c>
      <c r="I95" s="15">
        <f>IF(OR(G95="",H95=""),"",H95-G95)</f>
        <v>0</v>
      </c>
      <c r="J95" s="15" t="str">
        <f>IF(I95="","",IF(I95&lt;=الملخص!$C$5,"ملتزم","متأخر"))</f>
        <v>ملتزم</v>
      </c>
      <c r="K95" s="19" t="inlineStr"/>
    </row>
    <row r="96">
      <c r="A96" s="20" t="n">
        <v>92</v>
      </c>
      <c r="B96" s="20" t="inlineStr">
        <is>
          <t>أغسطس</t>
        </is>
      </c>
      <c r="C96" s="20" t="inlineStr">
        <is>
          <t>التنبيهات والتحذيرات</t>
        </is>
      </c>
      <c r="D96" s="21" t="inlineStr">
        <is>
          <t>كولومبيا · Colombia</t>
        </is>
      </c>
      <c r="E96" s="20" t="inlineStr">
        <is>
          <t>حذف تنبيه</t>
        </is>
      </c>
      <c r="F96" s="21" t="inlineStr">
        <is>
          <t>حذف تنبيه كولومبيا من صفحة المسافر الإماراتي على موقع الوزارة باللغة الإنجليزية</t>
        </is>
      </c>
      <c r="G96" s="17" t="n">
        <v>46251</v>
      </c>
      <c r="H96" s="22" t="n">
        <v>46251</v>
      </c>
      <c r="I96" s="20">
        <f>IF(OR(G96="",H96=""),"",H96-G96)</f>
        <v>0</v>
      </c>
      <c r="J96" s="20" t="str">
        <f>IF(I96="","",IF(I96&lt;=الملخص!$C$5,"ملتزم","متأخر"))</f>
        <v>ملتزم</v>
      </c>
      <c r="K96" s="19" t="inlineStr"/>
    </row>
    <row r="97">
      <c r="A97" s="15" t="n">
        <v>93</v>
      </c>
      <c r="B97" s="15" t="inlineStr">
        <is>
          <t>أغسطس</t>
        </is>
      </c>
      <c r="C97" s="15" t="inlineStr">
        <is>
          <t>التنبيهات والتحذيرات</t>
        </is>
      </c>
      <c r="D97" s="16" t="inlineStr">
        <is>
          <t>بلغاريا · Bulgaria</t>
        </is>
      </c>
      <c r="E97" s="15" t="inlineStr">
        <is>
          <t>حذف تنبيه</t>
        </is>
      </c>
      <c r="F97" s="16" t="inlineStr">
        <is>
          <t>حذف تنبيه بلغاريا في صفحة المسافر الإماراتي باللغتين العربية والإنجليزية</t>
        </is>
      </c>
      <c r="G97" s="17" t="n">
        <v>46252</v>
      </c>
      <c r="H97" s="18" t="n">
        <v>46252</v>
      </c>
      <c r="I97" s="15">
        <f>IF(OR(G97="",H97=""),"",H97-G97)</f>
        <v>0</v>
      </c>
      <c r="J97" s="15" t="str">
        <f>IF(I97="","",IF(I97&lt;=الملخص!$C$5,"ملتزم","متأخر"))</f>
        <v>ملتزم</v>
      </c>
      <c r="K97" s="19" t="inlineStr"/>
    </row>
    <row r="98">
      <c r="A98" s="20" t="n">
        <v>94</v>
      </c>
      <c r="B98" s="20" t="inlineStr">
        <is>
          <t>أغسطس</t>
        </is>
      </c>
      <c r="C98" s="20" t="inlineStr">
        <is>
          <t>التنبيهات والتحذيرات</t>
        </is>
      </c>
      <c r="D98" s="21" t="inlineStr">
        <is>
          <t>بلغاريا · Bulgaria</t>
        </is>
      </c>
      <c r="E98" s="20" t="inlineStr">
        <is>
          <t>نشر تنبيه</t>
        </is>
      </c>
      <c r="F98" s="21" t="inlineStr">
        <is>
          <t>نشر تنبيه بلغاريا في صفحة المسافر الإماراتي باللغتين العربية والإنجليزية</t>
        </is>
      </c>
      <c r="G98" s="17" t="n">
        <v>46252</v>
      </c>
      <c r="H98" s="22" t="n">
        <v>46252</v>
      </c>
      <c r="I98" s="20">
        <f>IF(OR(G98="",H98=""),"",H98-G98)</f>
        <v>0</v>
      </c>
      <c r="J98" s="20" t="str">
        <f>IF(I98="","",IF(I98&lt;=الملخص!$C$5,"ملتزم","متأخر"))</f>
        <v>ملتزم</v>
      </c>
      <c r="K98" s="19" t="inlineStr"/>
    </row>
    <row r="99">
      <c r="A99" s="15" t="n">
        <v>95</v>
      </c>
      <c r="B99" s="15" t="inlineStr">
        <is>
          <t>أغسطس</t>
        </is>
      </c>
      <c r="C99" s="15" t="inlineStr">
        <is>
          <t>الإعفاءات من التأشيرة</t>
        </is>
      </c>
      <c r="D99" s="16" t="inlineStr">
        <is>
          <t>سريلانكا · Sri Lanka</t>
        </is>
      </c>
      <c r="E99" s="15" t="inlineStr">
        <is>
          <t>تحديث صفحة الإعفاء</t>
        </is>
      </c>
      <c r="F99" s="16" t="inlineStr">
        <is>
          <t>تحديث أيقونة الإعفاء من التأشيرة لتصبح ETA لكافة الجوازات في صفحة سريلانكا باللغتين العربية والإنجليزية</t>
        </is>
      </c>
      <c r="G99" s="17" t="n">
        <v>46252</v>
      </c>
      <c r="H99" s="18" t="n">
        <v>46252</v>
      </c>
      <c r="I99" s="15">
        <f>IF(OR(G99="",H99=""),"",H99-G99)</f>
        <v>0</v>
      </c>
      <c r="J99" s="15" t="str">
        <f>IF(I99="","",IF(I99&lt;=الملخص!$C$5,"ملتزم","متأخر"))</f>
        <v>ملتزم</v>
      </c>
      <c r="K99" s="19" t="inlineStr"/>
    </row>
    <row r="100">
      <c r="A100" s="20" t="n">
        <v>96</v>
      </c>
      <c r="B100" s="20" t="inlineStr">
        <is>
          <t>أغسطس</t>
        </is>
      </c>
      <c r="C100" s="20" t="inlineStr">
        <is>
          <t>التنبيهات والتحذيرات</t>
        </is>
      </c>
      <c r="D100" s="21" t="inlineStr">
        <is>
          <t>الولايات المتحدة الأمريكية · United States</t>
        </is>
      </c>
      <c r="E100" s="20" t="inlineStr">
        <is>
          <t>حذف تنبيه</t>
        </is>
      </c>
      <c r="F100" s="21" t="inlineStr">
        <is>
          <t>حذف تنبيه المسافر الإماراتي لأمريكا من صفحة المسافر الإماراتي</t>
        </is>
      </c>
      <c r="G100" s="17" t="n">
        <v>46254</v>
      </c>
      <c r="H100" s="22" t="n">
        <v>46254</v>
      </c>
      <c r="I100" s="20">
        <f>IF(OR(G100="",H100=""),"",H100-G100)</f>
        <v>0</v>
      </c>
      <c r="J100" s="20" t="str">
        <f>IF(I100="","",IF(I100&lt;=الملخص!$C$5,"ملتزم","متأخر"))</f>
        <v>ملتزم</v>
      </c>
      <c r="K100" s="19" t="inlineStr"/>
    </row>
    <row r="101">
      <c r="A101" s="15" t="n">
        <v>97</v>
      </c>
      <c r="B101" s="15" t="inlineStr">
        <is>
          <t>أغسطس</t>
        </is>
      </c>
      <c r="C101" s="15" t="inlineStr">
        <is>
          <t>إرشادات المسافر</t>
        </is>
      </c>
      <c r="D101" s="16" t="inlineStr">
        <is>
          <t>تركيا · Turkiye</t>
        </is>
      </c>
      <c r="E101" s="15" t="inlineStr">
        <is>
          <t>إرشادات السفر العامة</t>
        </is>
      </c>
      <c r="F101" s="16" t="inlineStr">
        <is>
          <t>تعديل خانة إرشادات السفر العامة في صفحة المسافر الإماراتي في تركي</t>
        </is>
      </c>
      <c r="G101" s="17" t="n">
        <v>46254</v>
      </c>
      <c r="H101" s="18" t="n">
        <v>46254</v>
      </c>
      <c r="I101" s="15">
        <f>IF(OR(G101="",H101=""),"",H101-G101)</f>
        <v>0</v>
      </c>
      <c r="J101" s="15" t="str">
        <f>IF(I101="","",IF(I101&lt;=الملخص!$C$5,"ملتزم","متأخر"))</f>
        <v>ملتزم</v>
      </c>
      <c r="K101" s="19" t="inlineStr"/>
    </row>
    <row r="102">
      <c r="A102" s="20" t="n">
        <v>98</v>
      </c>
      <c r="B102" s="20" t="inlineStr">
        <is>
          <t>أغسطس</t>
        </is>
      </c>
      <c r="C102" s="20" t="inlineStr">
        <is>
          <t>التنبيهات والتحذيرات</t>
        </is>
      </c>
      <c r="D102" s="21" t="inlineStr">
        <is>
          <t>فيتنام · Vietnam</t>
        </is>
      </c>
      <c r="E102" s="20" t="inlineStr">
        <is>
          <t>نشر تنبيه</t>
        </is>
      </c>
      <c r="F102" s="21" t="inlineStr">
        <is>
          <t>نشر تنبيه فيتنام في صفحة المسافر الإماراتي على موقع الوزارة</t>
        </is>
      </c>
      <c r="G102" s="17" t="n">
        <v>46255</v>
      </c>
      <c r="H102" s="22" t="n">
        <v>46255</v>
      </c>
      <c r="I102" s="20">
        <f>IF(OR(G102="",H102=""),"",H102-G102)</f>
        <v>0</v>
      </c>
      <c r="J102" s="20" t="str">
        <f>IF(I102="","",IF(I102&lt;=الملخص!$C$5,"ملتزم","متأخر"))</f>
        <v>ملتزم</v>
      </c>
      <c r="K102" s="19" t="inlineStr"/>
    </row>
    <row r="103">
      <c r="A103" s="15" t="n">
        <v>99</v>
      </c>
      <c r="B103" s="15" t="inlineStr">
        <is>
          <t>أغسطس</t>
        </is>
      </c>
      <c r="C103" s="15" t="inlineStr">
        <is>
          <t>التنبيهات والتحذيرات</t>
        </is>
      </c>
      <c r="D103" s="16" t="inlineStr">
        <is>
          <t>اليابان · Japan</t>
        </is>
      </c>
      <c r="E103" s="15" t="inlineStr">
        <is>
          <t>نشر تنبيه</t>
        </is>
      </c>
      <c r="F103" s="16" t="inlineStr">
        <is>
          <t>نشر تنبيه اليابان في صفحة المسافر الإماراتي على موقع الوزارة</t>
        </is>
      </c>
      <c r="G103" s="17" t="n">
        <v>46258</v>
      </c>
      <c r="H103" s="18" t="n">
        <v>46258</v>
      </c>
      <c r="I103" s="15">
        <f>IF(OR(G103="",H103=""),"",H103-G103)</f>
        <v>0</v>
      </c>
      <c r="J103" s="15" t="str">
        <f>IF(I103="","",IF(I103&lt;=الملخص!$C$5,"ملتزم","متأخر"))</f>
        <v>ملتزم</v>
      </c>
      <c r="K103" s="19" t="inlineStr"/>
    </row>
    <row r="104">
      <c r="A104" s="20" t="n">
        <v>100</v>
      </c>
      <c r="B104" s="20" t="inlineStr">
        <is>
          <t>أغسطس</t>
        </is>
      </c>
      <c r="C104" s="20" t="inlineStr">
        <is>
          <t>التنبيهات والتحذيرات</t>
        </is>
      </c>
      <c r="D104" s="21" t="inlineStr">
        <is>
          <t>بلغاريا · Bulgaria</t>
        </is>
      </c>
      <c r="E104" s="20" t="inlineStr">
        <is>
          <t>حذف تنبيه</t>
        </is>
      </c>
      <c r="F104" s="21" t="inlineStr">
        <is>
          <t>حذف تنبيه بلغاريا في صفحة المسافر الإماراتي باللغتين العربية والإنجليزية</t>
        </is>
      </c>
      <c r="G104" s="17" t="n">
        <v>46259</v>
      </c>
      <c r="H104" s="22" t="n">
        <v>46259</v>
      </c>
      <c r="I104" s="20">
        <f>IF(OR(G104="",H104=""),"",H104-G104)</f>
        <v>0</v>
      </c>
      <c r="J104" s="20" t="str">
        <f>IF(I104="","",IF(I104&lt;=الملخص!$C$5,"ملتزم","متأخر"))</f>
        <v>ملتزم</v>
      </c>
      <c r="K104" s="19" t="inlineStr"/>
    </row>
    <row r="105">
      <c r="A105" s="15" t="n">
        <v>101</v>
      </c>
      <c r="B105" s="15" t="inlineStr">
        <is>
          <t>أغسطس</t>
        </is>
      </c>
      <c r="C105" s="15" t="inlineStr">
        <is>
          <t>الإعفاءات من التأشيرة</t>
        </is>
      </c>
      <c r="D105" s="16" t="inlineStr">
        <is>
          <t>صربيا · Serbia</t>
        </is>
      </c>
      <c r="E105" s="15" t="inlineStr">
        <is>
          <t>تحديث صفحة الإعفاء</t>
        </is>
      </c>
      <c r="F105" s="16" t="inlineStr">
        <is>
          <t>تعديل خانة معلومات الإعفاء من التأشيرة في صفحة المسافر الإماراتي في صربيا</t>
        </is>
      </c>
      <c r="G105" s="17" t="n">
        <v>46259</v>
      </c>
      <c r="H105" s="18" t="n">
        <v>46259</v>
      </c>
      <c r="I105" s="15">
        <f>IF(OR(G105="",H105=""),"",H105-G105)</f>
        <v>0</v>
      </c>
      <c r="J105" s="15" t="str">
        <f>IF(I105="","",IF(I105&lt;=الملخص!$C$5,"ملتزم","متأخر"))</f>
        <v>ملتزم</v>
      </c>
      <c r="K105" s="19" t="inlineStr"/>
    </row>
    <row r="106">
      <c r="A106" s="20" t="n">
        <v>102</v>
      </c>
      <c r="B106" s="20" t="inlineStr">
        <is>
          <t>أغسطس</t>
        </is>
      </c>
      <c r="C106" s="20" t="inlineStr">
        <is>
          <t>إرشادات المسافر</t>
        </is>
      </c>
      <c r="D106" s="21" t="inlineStr">
        <is>
          <t>صربيا · Serbia</t>
        </is>
      </c>
      <c r="E106" s="20" t="inlineStr">
        <is>
          <t>إرشادات السفر العامة</t>
        </is>
      </c>
      <c r="F106" s="21" t="inlineStr">
        <is>
          <t>تعديل خانة إرشادات السفر العامة في صفحة المسافر الإماراتي في صربيا</t>
        </is>
      </c>
      <c r="G106" s="17" t="n">
        <v>46259</v>
      </c>
      <c r="H106" s="22" t="n">
        <v>46259</v>
      </c>
      <c r="I106" s="20">
        <f>IF(OR(G106="",H106=""),"",H106-G106)</f>
        <v>0</v>
      </c>
      <c r="J106" s="20" t="str">
        <f>IF(I106="","",IF(I106&lt;=الملخص!$C$5,"ملتزم","متأخر"))</f>
        <v>ملتزم</v>
      </c>
      <c r="K106" s="19" t="inlineStr"/>
    </row>
    <row r="107">
      <c r="A107" s="15" t="n">
        <v>103</v>
      </c>
      <c r="B107" s="15" t="inlineStr">
        <is>
          <t>أغسطس</t>
        </is>
      </c>
      <c r="C107" s="15" t="inlineStr">
        <is>
          <t>إرشادات المسافر</t>
        </is>
      </c>
      <c r="D107" s="16" t="inlineStr">
        <is>
          <t>صربيا · Serbia</t>
        </is>
      </c>
      <c r="E107" s="15" t="inlineStr">
        <is>
          <t>القوانين والتعليمات والجمارك</t>
        </is>
      </c>
      <c r="F107" s="16" t="inlineStr">
        <is>
          <t>تعديل خانة القوانين والتعليمات والجمارك في صفحة المسافر الإماراتي في صربيا</t>
        </is>
      </c>
      <c r="G107" s="17" t="n">
        <v>46259</v>
      </c>
      <c r="H107" s="18" t="n">
        <v>46259</v>
      </c>
      <c r="I107" s="15">
        <f>IF(OR(G107="",H107=""),"",H107-G107)</f>
        <v>0</v>
      </c>
      <c r="J107" s="15" t="str">
        <f>IF(I107="","",IF(I107&lt;=الملخص!$C$5,"ملتزم","متأخر"))</f>
        <v>ملتزم</v>
      </c>
      <c r="K107" s="19" t="inlineStr"/>
    </row>
    <row r="108">
      <c r="A108" s="20" t="n">
        <v>104</v>
      </c>
      <c r="B108" s="20" t="inlineStr">
        <is>
          <t>أغسطس</t>
        </is>
      </c>
      <c r="C108" s="20" t="inlineStr">
        <is>
          <t>إرشادات المسافر</t>
        </is>
      </c>
      <c r="D108" s="21" t="inlineStr">
        <is>
          <t>صربيا · Serbia</t>
        </is>
      </c>
      <c r="E108" s="20" t="inlineStr">
        <is>
          <t>رقم الطوارئ</t>
        </is>
      </c>
      <c r="F108" s="21" t="inlineStr">
        <is>
          <t>تعديل خانة رقم الطوارئ ضمن خانة الكوارث والأزمات في صفحة المسافر الإماراتي في صربيا</t>
        </is>
      </c>
      <c r="G108" s="17" t="n">
        <v>46259</v>
      </c>
      <c r="H108" s="22" t="n">
        <v>46259</v>
      </c>
      <c r="I108" s="20">
        <f>IF(OR(G108="",H108=""),"",H108-G108)</f>
        <v>0</v>
      </c>
      <c r="J108" s="20" t="str">
        <f>IF(I108="","",IF(I108&lt;=الملخص!$C$5,"ملتزم","متأخر"))</f>
        <v>ملتزم</v>
      </c>
      <c r="K108" s="19" t="inlineStr"/>
    </row>
    <row r="109">
      <c r="A109" s="15" t="n">
        <v>105</v>
      </c>
      <c r="B109" s="15" t="inlineStr">
        <is>
          <t>أغسطس</t>
        </is>
      </c>
      <c r="C109" s="15" t="inlineStr">
        <is>
          <t>إرشادات المسافر</t>
        </is>
      </c>
      <c r="D109" s="16" t="inlineStr">
        <is>
          <t>صربيا · Serbia</t>
        </is>
      </c>
      <c r="E109" s="15" t="inlineStr">
        <is>
          <t>العادات والتقاليد والعطلات</t>
        </is>
      </c>
      <c r="F109" s="16" t="inlineStr">
        <is>
          <t>تعديل خانة العادات والتقاليد والعطلات في صفحة المسافر الإماراتي في صربيا</t>
        </is>
      </c>
      <c r="G109" s="17" t="n">
        <v>46259</v>
      </c>
      <c r="H109" s="18" t="n">
        <v>46259</v>
      </c>
      <c r="I109" s="15">
        <f>IF(OR(G109="",H109=""),"",H109-G109)</f>
        <v>0</v>
      </c>
      <c r="J109" s="15" t="str">
        <f>IF(I109="","",IF(I109&lt;=الملخص!$C$5,"ملتزم","متأخر"))</f>
        <v>ملتزم</v>
      </c>
      <c r="K109" s="19" t="inlineStr"/>
    </row>
    <row r="110">
      <c r="A110" s="20" t="n">
        <v>106</v>
      </c>
      <c r="B110" s="20" t="inlineStr">
        <is>
          <t>أغسطس</t>
        </is>
      </c>
      <c r="C110" s="20" t="inlineStr">
        <is>
          <t>التنبيهات والتحذيرات</t>
        </is>
      </c>
      <c r="D110" s="21" t="inlineStr">
        <is>
          <t>المملكة المتحدة · United Kingdom</t>
        </is>
      </c>
      <c r="E110" s="20" t="inlineStr">
        <is>
          <t>نشر تنبيه</t>
        </is>
      </c>
      <c r="F110" s="21" t="inlineStr">
        <is>
          <t>نشر تنبيه بريطانيا في صفحة المسافر الإماراتي على موقع الوزارة</t>
        </is>
      </c>
      <c r="G110" s="17" t="n">
        <v>46260</v>
      </c>
      <c r="H110" s="22" t="n">
        <v>46260</v>
      </c>
      <c r="I110" s="20">
        <f>IF(OR(G110="",H110=""),"",H110-G110)</f>
        <v>0</v>
      </c>
      <c r="J110" s="20" t="str">
        <f>IF(I110="","",IF(I110&lt;=الملخص!$C$5,"ملتزم","متأخر"))</f>
        <v>ملتزم</v>
      </c>
      <c r="K110" s="19" t="inlineStr"/>
    </row>
    <row r="111">
      <c r="A111" s="15" t="n">
        <v>107</v>
      </c>
      <c r="B111" s="15" t="inlineStr">
        <is>
          <t>أغسطس</t>
        </is>
      </c>
      <c r="C111" s="15" t="inlineStr">
        <is>
          <t>التنبيهات والتحذيرات</t>
        </is>
      </c>
      <c r="D111" s="16" t="inlineStr">
        <is>
          <t>نيبال · Nepal</t>
        </is>
      </c>
      <c r="E111" s="15" t="inlineStr">
        <is>
          <t>نشر تنبيه</t>
        </is>
      </c>
      <c r="F111" s="16" t="inlineStr">
        <is>
          <t>نشر تنبيه نيبال في صفحة المسافر الإماراتي على موقع الوزارة</t>
        </is>
      </c>
      <c r="G111" s="17" t="n">
        <v>46260</v>
      </c>
      <c r="H111" s="18" t="n">
        <v>46260</v>
      </c>
      <c r="I111" s="15">
        <f>IF(OR(G111="",H111=""),"",H111-G111)</f>
        <v>0</v>
      </c>
      <c r="J111" s="15" t="str">
        <f>IF(I111="","",IF(I111&lt;=الملخص!$C$5,"ملتزم","متأخر"))</f>
        <v>ملتزم</v>
      </c>
      <c r="K111" s="19" t="inlineStr"/>
    </row>
    <row r="112">
      <c r="A112" s="20" t="n">
        <v>108</v>
      </c>
      <c r="B112" s="20" t="inlineStr">
        <is>
          <t>أغسطس</t>
        </is>
      </c>
      <c r="C112" s="20" t="inlineStr">
        <is>
          <t>التنبيهات والتحذيرات</t>
        </is>
      </c>
      <c r="D112" s="21" t="inlineStr">
        <is>
          <t>فيتنام · Vietnam</t>
        </is>
      </c>
      <c r="E112" s="20" t="inlineStr">
        <is>
          <t>حذف تنبيه</t>
        </is>
      </c>
      <c r="F112" s="21" t="inlineStr">
        <is>
          <t>حذف تنبيه فيتنام من صفحة المسافر الإماراتي على موقع الوزارة</t>
        </is>
      </c>
      <c r="G112" s="17" t="n">
        <v>46261</v>
      </c>
      <c r="H112" s="22" t="n">
        <v>46261</v>
      </c>
      <c r="I112" s="20">
        <f>IF(OR(G112="",H112=""),"",H112-G112)</f>
        <v>0</v>
      </c>
      <c r="J112" s="20" t="str">
        <f>IF(I112="","",IF(I112&lt;=الملخص!$C$5,"ملتزم","متأخر"))</f>
        <v>ملتزم</v>
      </c>
      <c r="K112" s="19" t="inlineStr"/>
    </row>
    <row r="113">
      <c r="A113" s="15" t="n">
        <v>109</v>
      </c>
      <c r="B113" s="15" t="inlineStr">
        <is>
          <t>أغسطس</t>
        </is>
      </c>
      <c r="C113" s="15" t="inlineStr">
        <is>
          <t>التنبيهات والتحذيرات</t>
        </is>
      </c>
      <c r="D113" s="16" t="inlineStr">
        <is>
          <t>اليابان · Japan</t>
        </is>
      </c>
      <c r="E113" s="15" t="inlineStr">
        <is>
          <t>حذف تنبيه</t>
        </is>
      </c>
      <c r="F113" s="16" t="inlineStr">
        <is>
          <t>حذف تنبيه اليابان من صفحة المسافر الإماراتي على موقع الوزارة</t>
        </is>
      </c>
      <c r="G113" s="17" t="n">
        <v>46261</v>
      </c>
      <c r="H113" s="18" t="n">
        <v>46261</v>
      </c>
      <c r="I113" s="15">
        <f>IF(OR(G113="",H113=""),"",H113-G113)</f>
        <v>0</v>
      </c>
      <c r="J113" s="15" t="str">
        <f>IF(I113="","",IF(I113&lt;=الملخص!$C$5,"ملتزم","متأخر"))</f>
        <v>ملتزم</v>
      </c>
      <c r="K113" s="19" t="inlineStr"/>
    </row>
    <row r="114">
      <c r="A114" s="20" t="n">
        <v>110</v>
      </c>
      <c r="B114" s="20" t="inlineStr">
        <is>
          <t>أغسطس</t>
        </is>
      </c>
      <c r="C114" s="20" t="inlineStr">
        <is>
          <t>الإعفاءات من التأشيرة</t>
        </is>
      </c>
      <c r="D114" s="21" t="inlineStr">
        <is>
          <t>أنتيغوا وبربودا · Antigua and Barbuda</t>
        </is>
      </c>
      <c r="E114" s="20" t="inlineStr">
        <is>
          <t>تحديث صفحة الإعفاء</t>
        </is>
      </c>
      <c r="F114" s="21" t="inlineStr">
        <is>
          <t>تعديل خانة معلومات الإعفاء من التأشيرة لدولة أنتيغوا وبربودا في صفحة المسافر الإماراتي على موقع الوزارة</t>
        </is>
      </c>
      <c r="G114" s="17" t="n">
        <v>46261</v>
      </c>
      <c r="H114" s="22" t="n">
        <v>46261</v>
      </c>
      <c r="I114" s="20">
        <f>IF(OR(G114="",H114=""),"",H114-G114)</f>
        <v>0</v>
      </c>
      <c r="J114" s="20" t="str">
        <f>IF(I114="","",IF(I114&lt;=الملخص!$C$5,"ملتزم","متأخر"))</f>
        <v>ملتزم</v>
      </c>
      <c r="K114" s="19" t="inlineStr"/>
    </row>
    <row r="115">
      <c r="A115" s="15" t="n">
        <v>111</v>
      </c>
      <c r="B115" s="15" t="inlineStr">
        <is>
          <t>أغسطس</t>
        </is>
      </c>
      <c r="C115" s="15" t="inlineStr">
        <is>
          <t>التنبيهات والتحذيرات</t>
        </is>
      </c>
      <c r="D115" s="16" t="inlineStr">
        <is>
          <t>الولايات المتحدة الأمريكية · United States</t>
        </is>
      </c>
      <c r="E115" s="15" t="inlineStr">
        <is>
          <t>نشر تنبيه</t>
        </is>
      </c>
      <c r="F115" s="16" t="inlineStr">
        <is>
          <t>نشر تنبيه المسافر الإماراتي على موقع بعثة الولايات المتحدة الأمريكية في موقع الوزارة</t>
        </is>
      </c>
      <c r="G115" s="17" t="n">
        <v>46265</v>
      </c>
      <c r="H115" s="18" t="n">
        <v>46265</v>
      </c>
      <c r="I115" s="15">
        <f>IF(OR(G115="",H115=""),"",H115-G115)</f>
        <v>0</v>
      </c>
      <c r="J115" s="15" t="str">
        <f>IF(I115="","",IF(I115&lt;=الملخص!$C$5,"ملتزم","متأخر"))</f>
        <v>ملتزم</v>
      </c>
      <c r="K115" s="19" t="inlineStr"/>
    </row>
    <row r="116">
      <c r="A116" s="20" t="n">
        <v>112</v>
      </c>
      <c r="B116" s="20" t="inlineStr">
        <is>
          <t>سبتمبر</t>
        </is>
      </c>
      <c r="C116" s="20" t="inlineStr">
        <is>
          <t>التنبيهات والتحذيرات</t>
        </is>
      </c>
      <c r="D116" s="21" t="inlineStr">
        <is>
          <t>فيتنام · Vietnam</t>
        </is>
      </c>
      <c r="E116" s="20" t="inlineStr">
        <is>
          <t>نشر تنبيه</t>
        </is>
      </c>
      <c r="F116" s="21" t="inlineStr">
        <is>
          <t>حفاظًا على سلامتكم، يُرجى توخي الحيطة والحذر بسبب العاصفة "Saudel" المتوقع تأثيرها شمال البلاد، وما قد يصاحبها من أمطار غزيرة وفيضانات، كما نؤكد ضرورة الالتزام بتعليمات السلامة الصادرة عن السلطات.</t>
        </is>
      </c>
      <c r="G116" s="17" t="n">
        <v>46266</v>
      </c>
      <c r="H116" s="22" t="n">
        <v>46266</v>
      </c>
      <c r="I116" s="20">
        <f>IF(OR(G116="",H116=""),"",H116-G116)</f>
        <v>0</v>
      </c>
      <c r="J116" s="20" t="str">
        <f>IF(I116="","",IF(I116&lt;=الملخص!$C$5,"ملتزم","متأخر"))</f>
        <v>ملتزم</v>
      </c>
      <c r="K116" s="19" t="inlineStr"/>
    </row>
    <row r="117">
      <c r="A117" s="15" t="n">
        <v>113</v>
      </c>
      <c r="B117" s="15" t="inlineStr">
        <is>
          <t>سبتمبر</t>
        </is>
      </c>
      <c r="C117" s="15" t="inlineStr">
        <is>
          <t>التنبيهات والتحذيرات</t>
        </is>
      </c>
      <c r="D117" s="16" t="inlineStr">
        <is>
          <t>اليابان · Japan</t>
        </is>
      </c>
      <c r="E117" s="15" t="inlineStr">
        <is>
          <t>نشر تنبيه</t>
        </is>
      </c>
      <c r="F117" s="16" t="inlineStr">
        <is>
          <t>حفاظًا على سلامتكم، يُرجى توخي الحيطة والحذر بسبب إعصار "Krovanh" المتوقع تأثيره في محافظة أوكيناوا وجزيرة كيوشو، كما نؤكد ضرورة الالتزام بتعليمات السلامة الصادرة عن السلطات.</t>
        </is>
      </c>
      <c r="G117" s="17" t="n">
        <v>46266</v>
      </c>
      <c r="H117" s="18" t="n">
        <v>46266</v>
      </c>
      <c r="I117" s="15">
        <f>IF(OR(G117="",H117=""),"",H117-G117)</f>
        <v>0</v>
      </c>
      <c r="J117" s="15" t="str">
        <f>IF(I117="","",IF(I117&lt;=الملخص!$C$5,"ملتزم","متأخر"))</f>
        <v>ملتزم</v>
      </c>
      <c r="K117" s="19" t="inlineStr"/>
    </row>
    <row r="118">
      <c r="A118" s="20" t="n">
        <v>114</v>
      </c>
      <c r="B118" s="20" t="inlineStr">
        <is>
          <t>سبتمبر</t>
        </is>
      </c>
      <c r="C118" s="20" t="inlineStr">
        <is>
          <t>الإعفاءات من التأشيرة</t>
        </is>
      </c>
      <c r="D118" s="21" t="inlineStr">
        <is>
          <t>فيتنام · Vietnam</t>
        </is>
      </c>
      <c r="E118" s="20" t="inlineStr">
        <is>
          <t>تحديث صفحة الإعفاء</t>
        </is>
      </c>
      <c r="F118" s="21" t="inlineStr">
        <is>
          <t>تعديل خانة الإعفاء من التأشيرة في صفحة المسافر الإماراتي لدولة فيتنام باللغتين العربية والإنجليزية</t>
        </is>
      </c>
      <c r="G118" s="17" t="n">
        <v>46268</v>
      </c>
      <c r="H118" s="22" t="n">
        <v>46268</v>
      </c>
      <c r="I118" s="20">
        <f>IF(OR(G118="",H118=""),"",H118-G118)</f>
        <v>0</v>
      </c>
      <c r="J118" s="20" t="str">
        <f>IF(I118="","",IF(I118&lt;=الملخص!$C$5,"ملتزم","متأخر"))</f>
        <v>ملتزم</v>
      </c>
      <c r="K118" s="19" t="inlineStr"/>
    </row>
    <row r="119">
      <c r="A119" s="15" t="n">
        <v>115</v>
      </c>
      <c r="B119" s="15" t="inlineStr">
        <is>
          <t>سبتمبر</t>
        </is>
      </c>
      <c r="C119" s="15" t="inlineStr">
        <is>
          <t>التنبيهات والتحذيرات</t>
        </is>
      </c>
      <c r="D119" s="16" t="inlineStr">
        <is>
          <t>إندونيسيا · Indonesia</t>
        </is>
      </c>
      <c r="E119" s="15" t="inlineStr">
        <is>
          <t>حذف تنبيه</t>
        </is>
      </c>
      <c r="F119" s="16" t="inlineStr">
        <is>
          <t>حذف تنبيه إندونيسيا من صفحة المسافر الإماراتي على موقع الوزارة</t>
        </is>
      </c>
      <c r="G119" s="17" t="n">
        <v>46269</v>
      </c>
      <c r="H119" s="18" t="n">
        <v>46269</v>
      </c>
      <c r="I119" s="15">
        <f>IF(OR(G119="",H119=""),"",H119-G119)</f>
        <v>0</v>
      </c>
      <c r="J119" s="15" t="str">
        <f>IF(I119="","",IF(I119&lt;=الملخص!$C$5,"ملتزم","متأخر"))</f>
        <v>ملتزم</v>
      </c>
      <c r="K119" s="19" t="inlineStr"/>
    </row>
    <row r="120">
      <c r="A120" s="20" t="n">
        <v>116</v>
      </c>
      <c r="B120" s="20" t="inlineStr">
        <is>
          <t>سبتمبر</t>
        </is>
      </c>
      <c r="C120" s="20" t="inlineStr">
        <is>
          <t>التنبيهات والتحذيرات</t>
        </is>
      </c>
      <c r="D120" s="21" t="inlineStr">
        <is>
          <t>الولايات المتحدة الأمريكية · United States</t>
        </is>
      </c>
      <c r="E120" s="20" t="inlineStr">
        <is>
          <t>حذف تنبيه</t>
        </is>
      </c>
      <c r="F120" s="21" t="inlineStr">
        <is>
          <t>حذف تنبيه أمريكا من صفحة المسافر الإماراتي على موقع الوزارة</t>
        </is>
      </c>
      <c r="G120" s="17" t="n">
        <v>46269</v>
      </c>
      <c r="H120" s="22" t="n">
        <v>46269</v>
      </c>
      <c r="I120" s="20">
        <f>IF(OR(G120="",H120=""),"",H120-G120)</f>
        <v>0</v>
      </c>
      <c r="J120" s="20" t="str">
        <f>IF(I120="","",IF(I120&lt;=الملخص!$C$5,"ملتزم","متأخر"))</f>
        <v>ملتزم</v>
      </c>
      <c r="K120" s="19" t="inlineStr"/>
    </row>
    <row r="121">
      <c r="A121" s="15" t="n">
        <v>117</v>
      </c>
      <c r="B121" s="15" t="inlineStr">
        <is>
          <t>سبتمبر</t>
        </is>
      </c>
      <c r="C121" s="15" t="inlineStr">
        <is>
          <t>الإعفاءات من التأشيرة</t>
        </is>
      </c>
      <c r="D121" s="16" t="inlineStr">
        <is>
          <t>أنغولا · Angola</t>
        </is>
      </c>
      <c r="E121" s="15" t="inlineStr">
        <is>
          <t>تحديث صفحة الإعفاء</t>
        </is>
      </c>
      <c r="F121" s="16" t="inlineStr">
        <is>
          <t>تعديل خانة الإعفاء من التأشيرة في موقع بعثة أنغولا</t>
        </is>
      </c>
      <c r="G121" s="17" t="n">
        <v>46269</v>
      </c>
      <c r="H121" s="18" t="n">
        <v>46269</v>
      </c>
      <c r="I121" s="15">
        <f>IF(OR(G121="",H121=""),"",H121-G121)</f>
        <v>0</v>
      </c>
      <c r="J121" s="15" t="str">
        <f>IF(I121="","",IF(I121&lt;=الملخص!$C$5,"ملتزم","متأخر"))</f>
        <v>ملتزم</v>
      </c>
      <c r="K121" s="19" t="inlineStr"/>
    </row>
    <row r="122">
      <c r="A122" s="20" t="n">
        <v>118</v>
      </c>
      <c r="B122" s="20" t="inlineStr">
        <is>
          <t>سبتمبر</t>
        </is>
      </c>
      <c r="C122" s="20" t="inlineStr">
        <is>
          <t>الإعفاءات من التأشيرة</t>
        </is>
      </c>
      <c r="D122" s="21" t="inlineStr">
        <is>
          <t>غانا · Ghana</t>
        </is>
      </c>
      <c r="E122" s="20" t="inlineStr">
        <is>
          <t>تحديث صفحة الإعفاء</t>
        </is>
      </c>
      <c r="F122" s="21" t="inlineStr">
        <is>
          <t>تعديل خانة معلومات الإعفاء من التأشيرة في صفحة المسافر الإماراتي لدولة غانا</t>
        </is>
      </c>
      <c r="G122" s="17" t="n">
        <v>46270</v>
      </c>
      <c r="H122" s="22" t="n">
        <v>46270</v>
      </c>
      <c r="I122" s="20">
        <f>IF(OR(G122="",H122=""),"",H122-G122)</f>
        <v>0</v>
      </c>
      <c r="J122" s="20" t="str">
        <f>IF(I122="","",IF(I122&lt;=الملخص!$C$5,"ملتزم","متأخر"))</f>
        <v>ملتزم</v>
      </c>
      <c r="K122" s="19" t="inlineStr"/>
    </row>
    <row r="123">
      <c r="A123" s="15" t="n">
        <v>119</v>
      </c>
      <c r="B123" s="15" t="inlineStr">
        <is>
          <t>سبتمبر</t>
        </is>
      </c>
      <c r="C123" s="15" t="inlineStr">
        <is>
          <t>إرشادات المسافر</t>
        </is>
      </c>
      <c r="D123" s="16" t="inlineStr">
        <is>
          <t>غانا · Ghana</t>
        </is>
      </c>
      <c r="E123" s="15" t="inlineStr">
        <is>
          <t>القوانين والتعليمات والجمارك</t>
        </is>
      </c>
      <c r="F123" s="16" t="inlineStr">
        <is>
          <t>تعديل خانة القوانين والتعليمات والجمارك في صفحة المسافر الإماراتي لدولة غانا</t>
        </is>
      </c>
      <c r="G123" s="17" t="n">
        <v>46270</v>
      </c>
      <c r="H123" s="18" t="n">
        <v>46270</v>
      </c>
      <c r="I123" s="15">
        <f>IF(OR(G123="",H123=""),"",H123-G123)</f>
        <v>0</v>
      </c>
      <c r="J123" s="15" t="str">
        <f>IF(I123="","",IF(I123&lt;=الملخص!$C$5,"ملتزم","متأخر"))</f>
        <v>ملتزم</v>
      </c>
      <c r="K123" s="19" t="inlineStr"/>
    </row>
    <row r="124">
      <c r="A124" s="20" t="n">
        <v>120</v>
      </c>
      <c r="B124" s="20" t="inlineStr">
        <is>
          <t>سبتمبر</t>
        </is>
      </c>
      <c r="C124" s="20" t="inlineStr">
        <is>
          <t>إرشادات المسافر</t>
        </is>
      </c>
      <c r="D124" s="21" t="inlineStr">
        <is>
          <t>غانا · Ghana</t>
        </is>
      </c>
      <c r="E124" s="20" t="inlineStr">
        <is>
          <t>الكوارث والأزمات</t>
        </is>
      </c>
      <c r="F124" s="21" t="inlineStr">
        <is>
          <t>تعديل خانة الكوارث والأزمات في صفحة المسافر الإماراتي لدولة غانا</t>
        </is>
      </c>
      <c r="G124" s="17" t="n">
        <v>46270</v>
      </c>
      <c r="H124" s="22" t="n">
        <v>46270</v>
      </c>
      <c r="I124" s="20">
        <f>IF(OR(G124="",H124=""),"",H124-G124)</f>
        <v>0</v>
      </c>
      <c r="J124" s="20" t="str">
        <f>IF(I124="","",IF(I124&lt;=الملخص!$C$5,"ملتزم","متأخر"))</f>
        <v>ملتزم</v>
      </c>
      <c r="K124" s="19" t="inlineStr"/>
    </row>
    <row r="125">
      <c r="A125" s="15" t="n">
        <v>121</v>
      </c>
      <c r="B125" s="15" t="inlineStr">
        <is>
          <t>سبتمبر</t>
        </is>
      </c>
      <c r="C125" s="15" t="inlineStr">
        <is>
          <t>إرشادات المسافر</t>
        </is>
      </c>
      <c r="D125" s="16" t="inlineStr">
        <is>
          <t>غانا · Ghana</t>
        </is>
      </c>
      <c r="E125" s="15" t="inlineStr">
        <is>
          <t>العادات والتقاليد والعطلات</t>
        </is>
      </c>
      <c r="F125" s="16" t="inlineStr">
        <is>
          <t>تعديل خانة العادات والتقاليد والعطلات في صفحة المسافر الإماراتي لدولة غانا</t>
        </is>
      </c>
      <c r="G125" s="17" t="n">
        <v>46270</v>
      </c>
      <c r="H125" s="18" t="n">
        <v>46270</v>
      </c>
      <c r="I125" s="15">
        <f>IF(OR(G125="",H125=""),"",H125-G125)</f>
        <v>0</v>
      </c>
      <c r="J125" s="15" t="str">
        <f>IF(I125="","",IF(I125&lt;=الملخص!$C$5,"ملتزم","متأخر"))</f>
        <v>ملتزم</v>
      </c>
      <c r="K125" s="19" t="inlineStr"/>
    </row>
    <row r="126">
      <c r="A126" s="20" t="n">
        <v>122</v>
      </c>
      <c r="B126" s="20" t="inlineStr">
        <is>
          <t>سبتمبر</t>
        </is>
      </c>
      <c r="C126" s="20" t="inlineStr">
        <is>
          <t>التنبيهات والتحذيرات</t>
        </is>
      </c>
      <c r="D126" s="21" t="inlineStr">
        <is>
          <t>إندونيسيا · Indonesia</t>
        </is>
      </c>
      <c r="E126" s="20" t="inlineStr">
        <is>
          <t>نشر تنبيه</t>
        </is>
      </c>
      <c r="F126" s="21" t="inlineStr">
        <is>
          <t>حفاظًا على سلامتكم، يُرجى توخي الحيطة والحذر بسبب تأثر العاصمة جاكرتا والمناطق المحيطة بها بالرماد البركاني الناجم عن نشاط جبل "آناك كراكاتاو"، كما نؤكد ضرورة الالتزام بتعليمات السلامة الصادرة عن السلطات.</t>
        </is>
      </c>
      <c r="G126" s="17" t="n">
        <v>46271</v>
      </c>
      <c r="H126" s="22" t="n">
        <v>46271</v>
      </c>
      <c r="I126" s="20">
        <f>IF(OR(G126="",H126=""),"",H126-G126)</f>
        <v>0</v>
      </c>
      <c r="J126" s="20" t="str">
        <f>IF(I126="","",IF(I126&lt;=الملخص!$C$5,"ملتزم","متأخر"))</f>
        <v>ملتزم</v>
      </c>
      <c r="K126" s="19" t="inlineStr"/>
    </row>
    <row r="127">
      <c r="A127" s="15" t="n">
        <v>123</v>
      </c>
      <c r="B127" s="15" t="inlineStr">
        <is>
          <t>سبتمبر</t>
        </is>
      </c>
      <c r="C127" s="15" t="inlineStr">
        <is>
          <t>التنبيهات والتحذيرات</t>
        </is>
      </c>
      <c r="D127" s="16" t="inlineStr">
        <is>
          <t>فيتنام · Vietnam</t>
        </is>
      </c>
      <c r="E127" s="15" t="inlineStr">
        <is>
          <t>حذف تنبيه</t>
        </is>
      </c>
      <c r="F127" s="16" t="inlineStr">
        <is>
          <t>حذف تنبيه فيتنام من صفحة المسافر الإماراتي على موقع الوزارة</t>
        </is>
      </c>
      <c r="G127" s="17" t="n">
        <v>46272</v>
      </c>
      <c r="H127" s="18" t="n">
        <v>46272</v>
      </c>
      <c r="I127" s="15">
        <f>IF(OR(G127="",H127=""),"",H127-G127)</f>
        <v>0</v>
      </c>
      <c r="J127" s="15" t="str">
        <f>IF(I127="","",IF(I127&lt;=الملخص!$C$5,"ملتزم","متأخر"))</f>
        <v>ملتزم</v>
      </c>
      <c r="K127" s="19" t="inlineStr"/>
    </row>
    <row r="128">
      <c r="A128" s="20" t="n">
        <v>124</v>
      </c>
      <c r="B128" s="20" t="inlineStr">
        <is>
          <t>سبتمبر</t>
        </is>
      </c>
      <c r="C128" s="20" t="inlineStr">
        <is>
          <t>التنبيهات والتحذيرات</t>
        </is>
      </c>
      <c r="D128" s="21" t="inlineStr">
        <is>
          <t>نيبال · Nepal</t>
        </is>
      </c>
      <c r="E128" s="20" t="inlineStr">
        <is>
          <t>حذف تنبيه</t>
        </is>
      </c>
      <c r="F128" s="21" t="inlineStr">
        <is>
          <t>حذف تنبيه نيبال من صفحة المسافر الإماراتي على موقع الوزارة</t>
        </is>
      </c>
      <c r="G128" s="17" t="n">
        <v>46272</v>
      </c>
      <c r="H128" s="22" t="n">
        <v>46272</v>
      </c>
      <c r="I128" s="20">
        <f>IF(OR(G128="",H128=""),"",H128-G128)</f>
        <v>0</v>
      </c>
      <c r="J128" s="20" t="str">
        <f>IF(I128="","",IF(I128&lt;=الملخص!$C$5,"ملتزم","متأخر"))</f>
        <v>ملتزم</v>
      </c>
      <c r="K128" s="19" t="inlineStr"/>
    </row>
    <row r="129">
      <c r="A129" s="15" t="n">
        <v>125</v>
      </c>
      <c r="B129" s="15" t="inlineStr">
        <is>
          <t>سبتمبر</t>
        </is>
      </c>
      <c r="C129" s="15" t="inlineStr">
        <is>
          <t>الإعفاءات من التأشيرة</t>
        </is>
      </c>
      <c r="D129" s="16" t="inlineStr">
        <is>
          <t>أذربيجان · Azerbaijan</t>
        </is>
      </c>
      <c r="E129" s="15" t="inlineStr">
        <is>
          <t>تحديث صفحة الإعفاء</t>
        </is>
      </c>
      <c r="F129" s="16" t="inlineStr">
        <is>
          <t>تعديل الأيقونة الخاصة بالإعفاء من التأشيرة في صفحة المسافر الإماراتي لدولة أذربيجان</t>
        </is>
      </c>
      <c r="G129" s="17" t="n">
        <v>46272</v>
      </c>
      <c r="H129" s="18" t="n">
        <v>46272</v>
      </c>
      <c r="I129" s="15">
        <f>IF(OR(G129="",H129=""),"",H129-G129)</f>
        <v>0</v>
      </c>
      <c r="J129" s="15" t="str">
        <f>IF(I129="","",IF(I129&lt;=الملخص!$C$5,"ملتزم","متأخر"))</f>
        <v>ملتزم</v>
      </c>
      <c r="K129" s="19" t="inlineStr"/>
    </row>
    <row r="130">
      <c r="A130" s="20" t="n">
        <v>126</v>
      </c>
      <c r="B130" s="20" t="inlineStr">
        <is>
          <t>سبتمبر</t>
        </is>
      </c>
      <c r="C130" s="20" t="inlineStr">
        <is>
          <t>الإعفاءات من التأشيرة</t>
        </is>
      </c>
      <c r="D130" s="21" t="inlineStr">
        <is>
          <t>أذربيجان · Azerbaijan</t>
        </is>
      </c>
      <c r="E130" s="20" t="inlineStr">
        <is>
          <t>تحديث صفحة الإعفاء</t>
        </is>
      </c>
      <c r="F130" s="21" t="inlineStr">
        <is>
          <t>تعديل خانة معلومات الإعفاء من التأشيرة في صفحة المسافر الإماراتي لدولة أذربيجان</t>
        </is>
      </c>
      <c r="G130" s="17" t="n">
        <v>46272</v>
      </c>
      <c r="H130" s="22" t="n">
        <v>46272</v>
      </c>
      <c r="I130" s="20">
        <f>IF(OR(G130="",H130=""),"",H130-G130)</f>
        <v>0</v>
      </c>
      <c r="J130" s="20" t="str">
        <f>IF(I130="","",IF(I130&lt;=الملخص!$C$5,"ملتزم","متأخر"))</f>
        <v>ملتزم</v>
      </c>
      <c r="K130" s="19" t="inlineStr"/>
    </row>
    <row r="131">
      <c r="A131" s="15" t="n">
        <v>127</v>
      </c>
      <c r="B131" s="15" t="inlineStr">
        <is>
          <t>سبتمبر</t>
        </is>
      </c>
      <c r="C131" s="15" t="inlineStr">
        <is>
          <t>إرشادات المسافر</t>
        </is>
      </c>
      <c r="D131" s="16" t="inlineStr">
        <is>
          <t>أذربيجان · Azerbaijan</t>
        </is>
      </c>
      <c r="E131" s="15" t="inlineStr">
        <is>
          <t>القوانين والتعليمات والجمارك</t>
        </is>
      </c>
      <c r="F131" s="16" t="inlineStr">
        <is>
          <t>تعديل خانة القوانين والتعليمات والجمارك في صفحة المسافر الإماراتي لدولة أذربيجان</t>
        </is>
      </c>
      <c r="G131" s="17" t="n">
        <v>46272</v>
      </c>
      <c r="H131" s="18" t="n">
        <v>46272</v>
      </c>
      <c r="I131" s="15">
        <f>IF(OR(G131="",H131=""),"",H131-G131)</f>
        <v>0</v>
      </c>
      <c r="J131" s="15" t="str">
        <f>IF(I131="","",IF(I131&lt;=الملخص!$C$5,"ملتزم","متأخر"))</f>
        <v>ملتزم</v>
      </c>
      <c r="K131" s="19" t="inlineStr"/>
    </row>
    <row r="132">
      <c r="A132" s="20" t="n">
        <v>128</v>
      </c>
      <c r="B132" s="20" t="inlineStr">
        <is>
          <t>سبتمبر</t>
        </is>
      </c>
      <c r="C132" s="20" t="inlineStr">
        <is>
          <t>إرشادات المسافر</t>
        </is>
      </c>
      <c r="D132" s="21" t="inlineStr">
        <is>
          <t>أذربيجان · Azerbaijan</t>
        </is>
      </c>
      <c r="E132" s="20" t="inlineStr">
        <is>
          <t>العادات والتقاليد والعطلات</t>
        </is>
      </c>
      <c r="F132" s="21" t="inlineStr">
        <is>
          <t>تعديل خانة العادات والتقاليد والعطلات في صفحة المسافر الإماراتي لدولة أذربيجان</t>
        </is>
      </c>
      <c r="G132" s="17" t="n">
        <v>46272</v>
      </c>
      <c r="H132" s="22" t="n">
        <v>46272</v>
      </c>
      <c r="I132" s="20">
        <f>IF(OR(G132="",H132=""),"",H132-G132)</f>
        <v>0</v>
      </c>
      <c r="J132" s="20" t="str">
        <f>IF(I132="","",IF(I132&lt;=الملخص!$C$5,"ملتزم","متأخر"))</f>
        <v>ملتزم</v>
      </c>
      <c r="K132" s="19" t="inlineStr"/>
    </row>
    <row r="133">
      <c r="A133" s="15" t="n">
        <v>129</v>
      </c>
      <c r="B133" s="15" t="inlineStr">
        <is>
          <t>سبتمبر</t>
        </is>
      </c>
      <c r="C133" s="15" t="inlineStr">
        <is>
          <t>إرشادات المسافر</t>
        </is>
      </c>
      <c r="D133" s="16" t="inlineStr">
        <is>
          <t>عام · General</t>
        </is>
      </c>
      <c r="E133" s="15" t="inlineStr">
        <is>
          <t>إرشادات السفر العامة</t>
        </is>
      </c>
      <c r="F133" s="16" t="inlineStr">
        <is>
          <t>إضافة جملة موحدة في نهاية قسم «إرشادات السفر حسب كل وجهة» ضمن «إرشادات السفر العامة» مع وضعها بتعداد نقطي ومحاذاتها مع باقي النقاط</t>
        </is>
      </c>
      <c r="G133" s="17" t="n">
        <v>46272</v>
      </c>
      <c r="H133" s="18" t="n">
        <v>46272</v>
      </c>
      <c r="I133" s="15">
        <f>IF(OR(G133="",H133=""),"",H133-G133)</f>
        <v>0</v>
      </c>
      <c r="J133" s="15" t="str">
        <f>IF(I133="","",IF(I133&lt;=الملخص!$C$5,"ملتزم","متأخر"))</f>
        <v>ملتزم</v>
      </c>
      <c r="K133" s="19" t="inlineStr"/>
    </row>
    <row r="134">
      <c r="A134" s="20" t="n">
        <v>130</v>
      </c>
      <c r="B134" s="20" t="inlineStr">
        <is>
          <t>سبتمبر</t>
        </is>
      </c>
      <c r="C134" s="20" t="inlineStr">
        <is>
          <t>التنبيهات والتحذيرات</t>
        </is>
      </c>
      <c r="D134" s="21" t="inlineStr">
        <is>
          <t>تنزانيا · Tanzania</t>
        </is>
      </c>
      <c r="E134" s="20" t="inlineStr">
        <is>
          <t>نشر تنبيه</t>
        </is>
      </c>
      <c r="F134" s="21" t="inlineStr">
        <is>
          <t>حفاظًا على سلامتكم، يُرجى توخي الحيطة والحذر بسبب الأمطار الغزيرة والفيضانات المتوقعة في إقليم زنجبار، كما نؤكد ضرورة الالتزام بتعليمات السلامة الصادرة عن السلطات.</t>
        </is>
      </c>
      <c r="G134" s="17" t="n">
        <v>46273</v>
      </c>
      <c r="H134" s="22" t="n">
        <v>46273</v>
      </c>
      <c r="I134" s="20">
        <f>IF(OR(G134="",H134=""),"",H134-G134)</f>
        <v>0</v>
      </c>
      <c r="J134" s="20" t="str">
        <f>IF(I134="","",IF(I134&lt;=الملخص!$C$5,"ملتزم","متأخر"))</f>
        <v>ملتزم</v>
      </c>
      <c r="K134" s="19" t="inlineStr"/>
    </row>
    <row r="135">
      <c r="A135" s="15" t="n">
        <v>131</v>
      </c>
      <c r="B135" s="15" t="inlineStr">
        <is>
          <t>سبتمبر</t>
        </is>
      </c>
      <c r="C135" s="15" t="inlineStr">
        <is>
          <t>التنبيهات والتحذيرات</t>
        </is>
      </c>
      <c r="D135" s="16" t="inlineStr">
        <is>
          <t>اليابان · Japan</t>
        </is>
      </c>
      <c r="E135" s="15" t="inlineStr">
        <is>
          <t>حذف تنبيه</t>
        </is>
      </c>
      <c r="F135" s="16" t="inlineStr">
        <is>
          <t>حذف تنبيه اليابان من صفحة المسافر الإماراتي على موقع الوزارة</t>
        </is>
      </c>
      <c r="G135" s="17" t="n">
        <v>46273</v>
      </c>
      <c r="H135" s="18" t="n">
        <v>46273</v>
      </c>
      <c r="I135" s="15">
        <f>IF(OR(G135="",H135=""),"",H135-G135)</f>
        <v>0</v>
      </c>
      <c r="J135" s="15" t="str">
        <f>IF(I135="","",IF(I135&lt;=الملخص!$C$5,"ملتزم","متأخر"))</f>
        <v>ملتزم</v>
      </c>
      <c r="K135" s="19" t="inlineStr"/>
    </row>
    <row r="136">
      <c r="A136" s="20" t="n">
        <v>132</v>
      </c>
      <c r="B136" s="20" t="inlineStr">
        <is>
          <t>سبتمبر</t>
        </is>
      </c>
      <c r="C136" s="20" t="inlineStr">
        <is>
          <t>الإعفاءات من التأشيرة</t>
        </is>
      </c>
      <c r="D136" s="21" t="inlineStr">
        <is>
          <t>ماليزيا · Malaysia</t>
        </is>
      </c>
      <c r="E136" s="20" t="inlineStr">
        <is>
          <t>تحديث صفحة الإعفاء</t>
        </is>
      </c>
      <c r="F136" s="21" t="inlineStr">
        <is>
          <t>تعديل خانة الإعفاء من التأشيرة في صفحة المسافر الإماراتي لدولة ماليزيا</t>
        </is>
      </c>
      <c r="G136" s="17" t="n">
        <v>46273</v>
      </c>
      <c r="H136" s="22" t="n">
        <v>46273</v>
      </c>
      <c r="I136" s="20">
        <f>IF(OR(G136="",H136=""),"",H136-G136)</f>
        <v>0</v>
      </c>
      <c r="J136" s="20" t="str">
        <f>IF(I136="","",IF(I136&lt;=الملخص!$C$5,"ملتزم","متأخر"))</f>
        <v>ملتزم</v>
      </c>
      <c r="K136" s="19" t="inlineStr"/>
    </row>
    <row r="137">
      <c r="A137" s="15" t="n">
        <v>133</v>
      </c>
      <c r="B137" s="15" t="inlineStr">
        <is>
          <t>سبتمبر</t>
        </is>
      </c>
      <c r="C137" s="15" t="inlineStr">
        <is>
          <t>الإعفاءات من التأشيرة</t>
        </is>
      </c>
      <c r="D137" s="16" t="inlineStr">
        <is>
          <t>بنما · Panama</t>
        </is>
      </c>
      <c r="E137" s="15" t="inlineStr">
        <is>
          <t>تحديث صفحة الإعفاء</t>
        </is>
      </c>
      <c r="F137" s="16" t="inlineStr">
        <is>
          <t>تعديل خانة الإعفاء من التأشيرة في صفحة المسافر الإماراتي لدولة بنما</t>
        </is>
      </c>
      <c r="G137" s="17" t="n">
        <v>46273</v>
      </c>
      <c r="H137" s="18" t="n">
        <v>46273</v>
      </c>
      <c r="I137" s="15">
        <f>IF(OR(G137="",H137=""),"",H137-G137)</f>
        <v>0</v>
      </c>
      <c r="J137" s="15" t="str">
        <f>IF(I137="","",IF(I137&lt;=الملخص!$C$5,"ملتزم","متأخر"))</f>
        <v>ملتزم</v>
      </c>
      <c r="K137" s="19" t="inlineStr"/>
    </row>
    <row r="138">
      <c r="A138" s="20" t="n">
        <v>134</v>
      </c>
      <c r="B138" s="20" t="inlineStr">
        <is>
          <t>سبتمبر</t>
        </is>
      </c>
      <c r="C138" s="20" t="inlineStr">
        <is>
          <t>الإعفاءات من التأشيرة</t>
        </is>
      </c>
      <c r="D138" s="21" t="inlineStr">
        <is>
          <t>بيلاروس · Belarus</t>
        </is>
      </c>
      <c r="E138" s="20" t="inlineStr">
        <is>
          <t>تحديث صفحة الإعفاء</t>
        </is>
      </c>
      <c r="F138" s="21" t="inlineStr">
        <is>
          <t>تعديل خانة الإعفاء من التأشيرة في صفحة المسافر الإماراتي لدولة بيلاروس</t>
        </is>
      </c>
      <c r="G138" s="17" t="n">
        <v>46273</v>
      </c>
      <c r="H138" s="22" t="n">
        <v>46273</v>
      </c>
      <c r="I138" s="20">
        <f>IF(OR(G138="",H138=""),"",H138-G138)</f>
        <v>0</v>
      </c>
      <c r="J138" s="20" t="str">
        <f>IF(I138="","",IF(I138&lt;=الملخص!$C$5,"ملتزم","متأخر"))</f>
        <v>ملتزم</v>
      </c>
      <c r="K138" s="19" t="inlineStr"/>
    </row>
    <row r="139">
      <c r="A139" s="15" t="n">
        <v>135</v>
      </c>
      <c r="B139" s="15" t="inlineStr">
        <is>
          <t>سبتمبر</t>
        </is>
      </c>
      <c r="C139" s="15" t="inlineStr">
        <is>
          <t>إرشادات المسافر</t>
        </is>
      </c>
      <c r="D139" s="16" t="inlineStr">
        <is>
          <t>سيشل · Seychelles</t>
        </is>
      </c>
      <c r="E139" s="15" t="inlineStr">
        <is>
          <t>العادات والتقاليد والعطلات</t>
        </is>
      </c>
      <c r="F139" s="16" t="inlineStr">
        <is>
          <t>تعديل خانة العادات والتقاليد والعطلات في صفحة المسافر الإماراتي لدولة سيشل</t>
        </is>
      </c>
      <c r="G139" s="17" t="n">
        <v>46273</v>
      </c>
      <c r="H139" s="18" t="n">
        <v>46273</v>
      </c>
      <c r="I139" s="15">
        <f>IF(OR(G139="",H139=""),"",H139-G139)</f>
        <v>0</v>
      </c>
      <c r="J139" s="15" t="str">
        <f>IF(I139="","",IF(I139&lt;=الملخص!$C$5,"ملتزم","متأخر"))</f>
        <v>ملتزم</v>
      </c>
      <c r="K139" s="19" t="inlineStr"/>
    </row>
    <row r="140">
      <c r="A140" s="20" t="n">
        <v>136</v>
      </c>
      <c r="B140" s="20" t="inlineStr">
        <is>
          <t>سبتمبر</t>
        </is>
      </c>
      <c r="C140" s="20" t="inlineStr">
        <is>
          <t>إرشادات المسافر</t>
        </is>
      </c>
      <c r="D140" s="21" t="inlineStr">
        <is>
          <t>كولومبيا · Colombia</t>
        </is>
      </c>
      <c r="E140" s="20" t="inlineStr">
        <is>
          <t>القوانين والتعليمات والجمارك</t>
        </is>
      </c>
      <c r="F140" s="21" t="inlineStr">
        <is>
          <t>تعديل خانة القوانين والتعليمات والجمارك في صفحة المسافر الإماراتي لدولة كولومبيا</t>
        </is>
      </c>
      <c r="G140" s="17" t="n">
        <v>46273</v>
      </c>
      <c r="H140" s="22" t="n">
        <v>46273</v>
      </c>
      <c r="I140" s="20">
        <f>IF(OR(G140="",H140=""),"",H140-G140)</f>
        <v>0</v>
      </c>
      <c r="J140" s="20" t="str">
        <f>IF(I140="","",IF(I140&lt;=الملخص!$C$5,"ملتزم","متأخر"))</f>
        <v>ملتزم</v>
      </c>
      <c r="K140" s="19" t="inlineStr"/>
    </row>
    <row r="141">
      <c r="A141" s="15" t="n">
        <v>137</v>
      </c>
      <c r="B141" s="15" t="inlineStr">
        <is>
          <t>سبتمبر</t>
        </is>
      </c>
      <c r="C141" s="15" t="inlineStr">
        <is>
          <t>إرشادات المسافر</t>
        </is>
      </c>
      <c r="D141" s="16" t="inlineStr">
        <is>
          <t>كولومبيا · Colombia</t>
        </is>
      </c>
      <c r="E141" s="15" t="inlineStr">
        <is>
          <t>العادات والتقاليد والعطلات</t>
        </is>
      </c>
      <c r="F141" s="16" t="inlineStr">
        <is>
          <t>تعديل خانة العادات والتقاليد والعطلات في صفحة المسافر الإماراتي لدولة كولومبيا</t>
        </is>
      </c>
      <c r="G141" s="17" t="n">
        <v>46273</v>
      </c>
      <c r="H141" s="18" t="n">
        <v>46273</v>
      </c>
      <c r="I141" s="15">
        <f>IF(OR(G141="",H141=""),"",H141-G141)</f>
        <v>0</v>
      </c>
      <c r="J141" s="15" t="str">
        <f>IF(I141="","",IF(I141&lt;=الملخص!$C$5,"ملتزم","متأخر"))</f>
        <v>ملتزم</v>
      </c>
      <c r="K141" s="19" t="inlineStr"/>
    </row>
    <row r="142">
      <c r="A142" s="20" t="n">
        <v>138</v>
      </c>
      <c r="B142" s="20" t="inlineStr">
        <is>
          <t>سبتمبر</t>
        </is>
      </c>
      <c r="C142" s="20" t="inlineStr">
        <is>
          <t>إرشادات المسافر</t>
        </is>
      </c>
      <c r="D142" s="21" t="inlineStr">
        <is>
          <t>بنما · Panama</t>
        </is>
      </c>
      <c r="E142" s="20" t="inlineStr">
        <is>
          <t>القوانين والتعليمات والجمارك</t>
        </is>
      </c>
      <c r="F142" s="21" t="inlineStr">
        <is>
          <t>تعديل خانة القوانين والتعليمات والجمارك في صفحة المسافر الإماراتي لدولة بنما</t>
        </is>
      </c>
      <c r="G142" s="17" t="n">
        <v>46273</v>
      </c>
      <c r="H142" s="22" t="n">
        <v>46273</v>
      </c>
      <c r="I142" s="20">
        <f>IF(OR(G142="",H142=""),"",H142-G142)</f>
        <v>0</v>
      </c>
      <c r="J142" s="20" t="str">
        <f>IF(I142="","",IF(I142&lt;=الملخص!$C$5,"ملتزم","متأخر"))</f>
        <v>ملتزم</v>
      </c>
      <c r="K142" s="19" t="inlineStr"/>
    </row>
    <row r="143">
      <c r="A143" s="15" t="n">
        <v>139</v>
      </c>
      <c r="B143" s="15" t="inlineStr">
        <is>
          <t>سبتمبر</t>
        </is>
      </c>
      <c r="C143" s="15" t="inlineStr">
        <is>
          <t>إرشادات المسافر</t>
        </is>
      </c>
      <c r="D143" s="16" t="inlineStr">
        <is>
          <t>بنما · Panama</t>
        </is>
      </c>
      <c r="E143" s="15" t="inlineStr">
        <is>
          <t>الكوارث والأزمات</t>
        </is>
      </c>
      <c r="F143" s="16" t="inlineStr">
        <is>
          <t>تعديل خانة الكوارث والأزمات في صفحة المسافر الإماراتي لدولة بنما</t>
        </is>
      </c>
      <c r="G143" s="17" t="n">
        <v>46273</v>
      </c>
      <c r="H143" s="18" t="n">
        <v>46273</v>
      </c>
      <c r="I143" s="15">
        <f>IF(OR(G143="",H143=""),"",H143-G143)</f>
        <v>0</v>
      </c>
      <c r="J143" s="15" t="str">
        <f>IF(I143="","",IF(I143&lt;=الملخص!$C$5,"ملتزم","متأخر"))</f>
        <v>ملتزم</v>
      </c>
      <c r="K143" s="19" t="inlineStr"/>
    </row>
    <row r="144">
      <c r="A144" s="20" t="n">
        <v>140</v>
      </c>
      <c r="B144" s="20" t="inlineStr">
        <is>
          <t>سبتمبر</t>
        </is>
      </c>
      <c r="C144" s="20" t="inlineStr">
        <is>
          <t>إرشادات المسافر</t>
        </is>
      </c>
      <c r="D144" s="21" t="inlineStr">
        <is>
          <t>بنما · Panama</t>
        </is>
      </c>
      <c r="E144" s="20" t="inlineStr">
        <is>
          <t>العادات والتقاليد والعطلات</t>
        </is>
      </c>
      <c r="F144" s="21" t="inlineStr">
        <is>
          <t>تعديل خانة العادات والتقاليد والعطلات في صفحة المسافر الإماراتي لدولة بنما</t>
        </is>
      </c>
      <c r="G144" s="17" t="n">
        <v>46273</v>
      </c>
      <c r="H144" s="22" t="n">
        <v>46273</v>
      </c>
      <c r="I144" s="20">
        <f>IF(OR(G144="",H144=""),"",H144-G144)</f>
        <v>0</v>
      </c>
      <c r="J144" s="20" t="str">
        <f>IF(I144="","",IF(I144&lt;=الملخص!$C$5,"ملتزم","متأخر"))</f>
        <v>ملتزم</v>
      </c>
      <c r="K144" s="19" t="inlineStr"/>
    </row>
    <row r="145">
      <c r="A145" s="15" t="n">
        <v>141</v>
      </c>
      <c r="B145" s="15" t="inlineStr">
        <is>
          <t>سبتمبر</t>
        </is>
      </c>
      <c r="C145" s="15" t="inlineStr">
        <is>
          <t>إرشادات المسافر</t>
        </is>
      </c>
      <c r="D145" s="16" t="inlineStr">
        <is>
          <t>بيلاروس · Belarus</t>
        </is>
      </c>
      <c r="E145" s="15" t="inlineStr">
        <is>
          <t>القوانين والتعليمات والجمارك</t>
        </is>
      </c>
      <c r="F145" s="16" t="inlineStr">
        <is>
          <t>تعديل خانة القوانين والتعليمات والجمارك في صفحة المسافر الإماراتي لدولة بيلاروس</t>
        </is>
      </c>
      <c r="G145" s="17" t="n">
        <v>46273</v>
      </c>
      <c r="H145" s="18" t="n">
        <v>46273</v>
      </c>
      <c r="I145" s="15">
        <f>IF(OR(G145="",H145=""),"",H145-G145)</f>
        <v>0</v>
      </c>
      <c r="J145" s="15" t="str">
        <f>IF(I145="","",IF(I145&lt;=الملخص!$C$5,"ملتزم","متأخر"))</f>
        <v>ملتزم</v>
      </c>
      <c r="K145" s="19" t="inlineStr"/>
    </row>
    <row r="146">
      <c r="A146" s="20" t="n">
        <v>142</v>
      </c>
      <c r="B146" s="20" t="inlineStr">
        <is>
          <t>سبتمبر</t>
        </is>
      </c>
      <c r="C146" s="20" t="inlineStr">
        <is>
          <t>إرشادات المسافر</t>
        </is>
      </c>
      <c r="D146" s="21" t="inlineStr">
        <is>
          <t>بيلاروس · Belarus</t>
        </is>
      </c>
      <c r="E146" s="20" t="inlineStr">
        <is>
          <t>الكوارث والأزمات</t>
        </is>
      </c>
      <c r="F146" s="21" t="inlineStr">
        <is>
          <t>تعديل خانة الكوارث والأزمات في صفحة المسافر الإماراتي لدولة بيلاروس</t>
        </is>
      </c>
      <c r="G146" s="17" t="n">
        <v>46273</v>
      </c>
      <c r="H146" s="22" t="n">
        <v>46273</v>
      </c>
      <c r="I146" s="20">
        <f>IF(OR(G146="",H146=""),"",H146-G146)</f>
        <v>0</v>
      </c>
      <c r="J146" s="20" t="str">
        <f>IF(I146="","",IF(I146&lt;=الملخص!$C$5,"ملتزم","متأخر"))</f>
        <v>ملتزم</v>
      </c>
      <c r="K146" s="19" t="inlineStr"/>
    </row>
    <row r="147">
      <c r="A147" s="15" t="n">
        <v>143</v>
      </c>
      <c r="B147" s="15" t="inlineStr">
        <is>
          <t>سبتمبر</t>
        </is>
      </c>
      <c r="C147" s="15" t="inlineStr">
        <is>
          <t>إرشادات المسافر</t>
        </is>
      </c>
      <c r="D147" s="16" t="inlineStr">
        <is>
          <t>بيلاروس · Belarus</t>
        </is>
      </c>
      <c r="E147" s="15" t="inlineStr">
        <is>
          <t>العادات والتقاليد والعطلات</t>
        </is>
      </c>
      <c r="F147" s="16" t="inlineStr">
        <is>
          <t>تعديل خانة العادات والتقاليد والعطلات في صفحة المسافر الإماراتي لدولة بيلاروس</t>
        </is>
      </c>
      <c r="G147" s="17" t="n">
        <v>46273</v>
      </c>
      <c r="H147" s="18" t="n">
        <v>46273</v>
      </c>
      <c r="I147" s="15">
        <f>IF(OR(G147="",H147=""),"",H147-G147)</f>
        <v>0</v>
      </c>
      <c r="J147" s="15" t="str">
        <f>IF(I147="","",IF(I147&lt;=الملخص!$C$5,"ملتزم","متأخر"))</f>
        <v>ملتزم</v>
      </c>
      <c r="K147" s="19" t="inlineStr"/>
    </row>
    <row r="148">
      <c r="A148" s="20" t="n">
        <v>144</v>
      </c>
      <c r="B148" s="20" t="inlineStr">
        <is>
          <t>سبتمبر</t>
        </is>
      </c>
      <c r="C148" s="20" t="inlineStr">
        <is>
          <t>الإعفاءات من التأشيرة</t>
        </is>
      </c>
      <c r="D148" s="21" t="inlineStr">
        <is>
          <t>أيرلندا · Ireland</t>
        </is>
      </c>
      <c r="E148" s="20" t="inlineStr">
        <is>
          <t>تحديث صفحة الإعفاء</t>
        </is>
      </c>
      <c r="F148" s="21" t="inlineStr">
        <is>
          <t>تعديل خانة معلومات الإعفاء من التأشيرة في صفحة المسافر الإماراتي لدولة أيرلندا باللغتين العربية والإنجليزية</t>
        </is>
      </c>
      <c r="G148" s="17" t="n">
        <v>46274</v>
      </c>
      <c r="H148" s="22" t="n">
        <v>46274</v>
      </c>
      <c r="I148" s="20">
        <f>IF(OR(G148="",H148=""),"",H148-G148)</f>
        <v>0</v>
      </c>
      <c r="J148" s="20" t="str">
        <f>IF(I148="","",IF(I148&lt;=الملخص!$C$5,"ملتزم","متأخر"))</f>
        <v>ملتزم</v>
      </c>
      <c r="K148" s="19" t="inlineStr"/>
    </row>
    <row r="149">
      <c r="A149" s="15" t="n">
        <v>145</v>
      </c>
      <c r="B149" s="15" t="inlineStr">
        <is>
          <t>سبتمبر</t>
        </is>
      </c>
      <c r="C149" s="15" t="inlineStr">
        <is>
          <t>إرشادات المسافر</t>
        </is>
      </c>
      <c r="D149" s="16" t="inlineStr">
        <is>
          <t>لبنان · Lebanon</t>
        </is>
      </c>
      <c r="E149" s="15" t="inlineStr">
        <is>
          <t>العادات والتقاليد والعطلات</t>
        </is>
      </c>
      <c r="F149" s="16" t="inlineStr">
        <is>
          <t>تعديل خانة العادات والتقاليد والعطلات في صفحة المسافر الإماراتي لدولة لبنان باللغتين العربية والإنجليزية</t>
        </is>
      </c>
      <c r="G149" s="17" t="n">
        <v>46274</v>
      </c>
      <c r="H149" s="18" t="n">
        <v>46274</v>
      </c>
      <c r="I149" s="15">
        <f>IF(OR(G149="",H149=""),"",H149-G149)</f>
        <v>0</v>
      </c>
      <c r="J149" s="15" t="str">
        <f>IF(I149="","",IF(I149&lt;=الملخص!$C$5,"ملتزم","متأخر"))</f>
        <v>ملتزم</v>
      </c>
      <c r="K149" s="19" t="inlineStr"/>
    </row>
    <row r="150">
      <c r="A150" s="20" t="n">
        <v>146</v>
      </c>
      <c r="B150" s="20" t="inlineStr">
        <is>
          <t>سبتمبر</t>
        </is>
      </c>
      <c r="C150" s="20" t="inlineStr">
        <is>
          <t>إرشادات المسافر</t>
        </is>
      </c>
      <c r="D150" s="21" t="inlineStr">
        <is>
          <t>أيرلندا · Ireland</t>
        </is>
      </c>
      <c r="E150" s="20" t="inlineStr">
        <is>
          <t>إرشادات السفر العامة</t>
        </is>
      </c>
      <c r="F150" s="21" t="inlineStr">
        <is>
          <t>تعديل خانة إرشادات السفر العامة في صفحة المسافر الإماراتي لدولة أيرلندا باللغتين العربية والإنجليزية</t>
        </is>
      </c>
      <c r="G150" s="17" t="n">
        <v>46274</v>
      </c>
      <c r="H150" s="22" t="n">
        <v>46274</v>
      </c>
      <c r="I150" s="20">
        <f>IF(OR(G150="",H150=""),"",H150-G150)</f>
        <v>0</v>
      </c>
      <c r="J150" s="20" t="str">
        <f>IF(I150="","",IF(I150&lt;=الملخص!$C$5,"ملتزم","متأخر"))</f>
        <v>ملتزم</v>
      </c>
      <c r="K150" s="19" t="inlineStr"/>
    </row>
    <row r="151">
      <c r="A151" s="15" t="n">
        <v>147</v>
      </c>
      <c r="B151" s="15" t="inlineStr">
        <is>
          <t>سبتمبر</t>
        </is>
      </c>
      <c r="C151" s="15" t="inlineStr">
        <is>
          <t>إرشادات المسافر</t>
        </is>
      </c>
      <c r="D151" s="16" t="inlineStr">
        <is>
          <t>أيرلندا · Ireland</t>
        </is>
      </c>
      <c r="E151" s="15" t="inlineStr">
        <is>
          <t>القوانين والتعليمات والجمارك</t>
        </is>
      </c>
      <c r="F151" s="16" t="inlineStr">
        <is>
          <t>تعديل خانة القوانين والتعليمات والجمارك في صفحة المسافر الإماراتي لدولة أيرلندا باللغتين العربية والإنجليزية</t>
        </is>
      </c>
      <c r="G151" s="17" t="n">
        <v>46274</v>
      </c>
      <c r="H151" s="18" t="n">
        <v>46274</v>
      </c>
      <c r="I151" s="15">
        <f>IF(OR(G151="",H151=""),"",H151-G151)</f>
        <v>0</v>
      </c>
      <c r="J151" s="15" t="str">
        <f>IF(I151="","",IF(I151&lt;=الملخص!$C$5,"ملتزم","متأخر"))</f>
        <v>ملتزم</v>
      </c>
      <c r="K151" s="19" t="inlineStr"/>
    </row>
    <row r="152">
      <c r="A152" s="20" t="n">
        <v>148</v>
      </c>
      <c r="B152" s="20" t="inlineStr">
        <is>
          <t>سبتمبر</t>
        </is>
      </c>
      <c r="C152" s="20" t="inlineStr">
        <is>
          <t>إرشادات المسافر</t>
        </is>
      </c>
      <c r="D152" s="21" t="inlineStr">
        <is>
          <t>أيرلندا · Ireland</t>
        </is>
      </c>
      <c r="E152" s="20" t="inlineStr">
        <is>
          <t>الكوارث والأزمات</t>
        </is>
      </c>
      <c r="F152" s="21" t="inlineStr">
        <is>
          <t>تعديل خانة الكوارث والأزمات في صفحة المسافر الإماراتي لدولة أيرلندا باللغتين العربية والإنجليزية</t>
        </is>
      </c>
      <c r="G152" s="17" t="n">
        <v>46274</v>
      </c>
      <c r="H152" s="22" t="n">
        <v>46274</v>
      </c>
      <c r="I152" s="20">
        <f>IF(OR(G152="",H152=""),"",H152-G152)</f>
        <v>0</v>
      </c>
      <c r="J152" s="20" t="str">
        <f>IF(I152="","",IF(I152&lt;=الملخص!$C$5,"ملتزم","متأخر"))</f>
        <v>ملتزم</v>
      </c>
      <c r="K152" s="19" t="inlineStr"/>
    </row>
    <row r="153">
      <c r="A153" s="15" t="n">
        <v>149</v>
      </c>
      <c r="B153" s="15" t="inlineStr">
        <is>
          <t>سبتمبر</t>
        </is>
      </c>
      <c r="C153" s="15" t="inlineStr">
        <is>
          <t>إرشادات المسافر</t>
        </is>
      </c>
      <c r="D153" s="16" t="inlineStr">
        <is>
          <t>أيرلندا · Ireland</t>
        </is>
      </c>
      <c r="E153" s="15" t="inlineStr">
        <is>
          <t>العادات والتقاليد والعطلات</t>
        </is>
      </c>
      <c r="F153" s="16" t="inlineStr">
        <is>
          <t>تعديل خانة العادات والتقاليد والعطلات في صفحة المسافر الإماراتي لدولة أيرلندا باللغتين العربية والإنجليزية</t>
        </is>
      </c>
      <c r="G153" s="17" t="n">
        <v>46274</v>
      </c>
      <c r="H153" s="18" t="n">
        <v>46274</v>
      </c>
      <c r="I153" s="15">
        <f>IF(OR(G153="",H153=""),"",H153-G153)</f>
        <v>0</v>
      </c>
      <c r="J153" s="15" t="str">
        <f>IF(I153="","",IF(I153&lt;=الملخص!$C$5,"ملتزم","متأخر"))</f>
        <v>ملتزم</v>
      </c>
      <c r="K153" s="19" t="inlineStr"/>
    </row>
    <row r="154">
      <c r="A154" s="20" t="n">
        <v>150</v>
      </c>
      <c r="B154" s="20" t="inlineStr">
        <is>
          <t>سبتمبر</t>
        </is>
      </c>
      <c r="C154" s="20" t="inlineStr">
        <is>
          <t>إرشادات المسافر</t>
        </is>
      </c>
      <c r="D154" s="21" t="inlineStr">
        <is>
          <t>الكويت · Kuwait</t>
        </is>
      </c>
      <c r="E154" s="20" t="inlineStr">
        <is>
          <t>إرشادات السفر العامة</t>
        </is>
      </c>
      <c r="F154" s="21" t="inlineStr">
        <is>
          <t>تعديل خانة إرشادات السفر العامة في صفحة المسافر الإماراتي لدولة الكويت</t>
        </is>
      </c>
      <c r="G154" s="17" t="n">
        <v>46274</v>
      </c>
      <c r="H154" s="22" t="n">
        <v>46274</v>
      </c>
      <c r="I154" s="20">
        <f>IF(OR(G154="",H154=""),"",H154-G154)</f>
        <v>0</v>
      </c>
      <c r="J154" s="20" t="str">
        <f>IF(I154="","",IF(I154&lt;=الملخص!$C$5,"ملتزم","متأخر"))</f>
        <v>ملتزم</v>
      </c>
      <c r="K154" s="19" t="inlineStr"/>
    </row>
    <row r="155">
      <c r="A155" s="15" t="n">
        <v>151</v>
      </c>
      <c r="B155" s="15" t="inlineStr">
        <is>
          <t>سبتمبر</t>
        </is>
      </c>
      <c r="C155" s="15" t="inlineStr">
        <is>
          <t>إرشادات المسافر</t>
        </is>
      </c>
      <c r="D155" s="16" t="inlineStr">
        <is>
          <t>الكويت · Kuwait</t>
        </is>
      </c>
      <c r="E155" s="15" t="inlineStr">
        <is>
          <t>القوانين والتعليمات والجمارك</t>
        </is>
      </c>
      <c r="F155" s="16" t="inlineStr">
        <is>
          <t>تعديل خانة القوانين والتعليمات والجمارك في صفحة المسافر الإماراتي لدولة الكويت</t>
        </is>
      </c>
      <c r="G155" s="17" t="n">
        <v>46274</v>
      </c>
      <c r="H155" s="18" t="n">
        <v>46274</v>
      </c>
      <c r="I155" s="15">
        <f>IF(OR(G155="",H155=""),"",H155-G155)</f>
        <v>0</v>
      </c>
      <c r="J155" s="15" t="str">
        <f>IF(I155="","",IF(I155&lt;=الملخص!$C$5,"ملتزم","متأخر"))</f>
        <v>ملتزم</v>
      </c>
      <c r="K155" s="19" t="inlineStr"/>
    </row>
    <row r="156">
      <c r="A156" s="20" t="n">
        <v>152</v>
      </c>
      <c r="B156" s="20" t="inlineStr">
        <is>
          <t>سبتمبر</t>
        </is>
      </c>
      <c r="C156" s="20" t="inlineStr">
        <is>
          <t>إرشادات المسافر</t>
        </is>
      </c>
      <c r="D156" s="21" t="inlineStr">
        <is>
          <t>الكويت · Kuwait</t>
        </is>
      </c>
      <c r="E156" s="20" t="inlineStr">
        <is>
          <t>الكوارث والأزمات</t>
        </is>
      </c>
      <c r="F156" s="21" t="inlineStr">
        <is>
          <t>تعديل خانة الكوارث والأزمات في صفحة المسافر الإماراتي لدولة الكويت</t>
        </is>
      </c>
      <c r="G156" s="17" t="n">
        <v>46274</v>
      </c>
      <c r="H156" s="22" t="n">
        <v>46274</v>
      </c>
      <c r="I156" s="20">
        <f>IF(OR(G156="",H156=""),"",H156-G156)</f>
        <v>0</v>
      </c>
      <c r="J156" s="20" t="str">
        <f>IF(I156="","",IF(I156&lt;=الملخص!$C$5,"ملتزم","متأخر"))</f>
        <v>ملتزم</v>
      </c>
      <c r="K156" s="19" t="inlineStr"/>
    </row>
    <row r="157">
      <c r="A157" s="15" t="n">
        <v>153</v>
      </c>
      <c r="B157" s="15" t="inlineStr">
        <is>
          <t>سبتمبر</t>
        </is>
      </c>
      <c r="C157" s="15" t="inlineStr">
        <is>
          <t>إرشادات المسافر</t>
        </is>
      </c>
      <c r="D157" s="16" t="inlineStr">
        <is>
          <t>الكويت · Kuwait</t>
        </is>
      </c>
      <c r="E157" s="15" t="inlineStr">
        <is>
          <t>العادات والتقاليد والعطلات</t>
        </is>
      </c>
      <c r="F157" s="16" t="inlineStr">
        <is>
          <t>تعديل خانة العادات والتقاليد والعطلات في صفحة المسافر الإماراتي لدولة الكويت</t>
        </is>
      </c>
      <c r="G157" s="17" t="n">
        <v>46274</v>
      </c>
      <c r="H157" s="18" t="n">
        <v>46274</v>
      </c>
      <c r="I157" s="15">
        <f>IF(OR(G157="",H157=""),"",H157-G157)</f>
        <v>0</v>
      </c>
      <c r="J157" s="15" t="str">
        <f>IF(I157="","",IF(I157&lt;=الملخص!$C$5,"ملتزم","متأخر"))</f>
        <v>ملتزم</v>
      </c>
      <c r="K157" s="19" t="inlineStr"/>
    </row>
    <row r="158">
      <c r="A158" s="20" t="n">
        <v>154</v>
      </c>
      <c r="B158" s="20" t="inlineStr">
        <is>
          <t>سبتمبر</t>
        </is>
      </c>
      <c r="C158" s="20" t="inlineStr">
        <is>
          <t>إرشادات المسافر</t>
        </is>
      </c>
      <c r="D158" s="21" t="inlineStr">
        <is>
          <t>موريشيوس · Mauritius</t>
        </is>
      </c>
      <c r="E158" s="20" t="inlineStr">
        <is>
          <t>إرشادات السفر العامة</t>
        </is>
      </c>
      <c r="F158" s="21" t="inlineStr">
        <is>
          <t>تحديث خانة إرشادات السفر العامة في صفحة المسافر الإماراتي لدولة موريشيوس</t>
        </is>
      </c>
      <c r="G158" s="17" t="n">
        <v>46276</v>
      </c>
      <c r="H158" s="22" t="n">
        <v>46276</v>
      </c>
      <c r="I158" s="20">
        <f>IF(OR(G158="",H158=""),"",H158-G158)</f>
        <v>0</v>
      </c>
      <c r="J158" s="20" t="str">
        <f>IF(I158="","",IF(I158&lt;=الملخص!$C$5,"ملتزم","متأخر"))</f>
        <v>ملتزم</v>
      </c>
      <c r="K158" s="19" t="inlineStr"/>
    </row>
    <row r="159">
      <c r="A159" s="15" t="n">
        <v>155</v>
      </c>
      <c r="B159" s="15" t="inlineStr">
        <is>
          <t>سبتمبر</t>
        </is>
      </c>
      <c r="C159" s="15" t="inlineStr">
        <is>
          <t>التنبيهات والتحذيرات</t>
        </is>
      </c>
      <c r="D159" s="16" t="inlineStr">
        <is>
          <t>إندونيسيا · Indonesia</t>
        </is>
      </c>
      <c r="E159" s="15" t="inlineStr">
        <is>
          <t>حذف تنبيه</t>
        </is>
      </c>
      <c r="F159" s="16" t="inlineStr">
        <is>
          <t>حذف تنبيه إندونيسيا من صفحة المسافر الإماراتي باللغتين العربية والإنجليزية</t>
        </is>
      </c>
      <c r="G159" s="17" t="n">
        <v>46279</v>
      </c>
      <c r="H159" s="18" t="n">
        <v>46279</v>
      </c>
      <c r="I159" s="15">
        <f>IF(OR(G159="",H159=""),"",H159-G159)</f>
        <v>0</v>
      </c>
      <c r="J159" s="15" t="str">
        <f>IF(I159="","",IF(I159&lt;=الملخص!$C$5,"ملتزم","متأخر"))</f>
        <v>ملتزم</v>
      </c>
      <c r="K159" s="19" t="inlineStr"/>
    </row>
    <row r="160">
      <c r="A160" s="20" t="n">
        <v>156</v>
      </c>
      <c r="B160" s="20" t="inlineStr">
        <is>
          <t>سبتمبر</t>
        </is>
      </c>
      <c r="C160" s="20" t="inlineStr">
        <is>
          <t>إرشادات المسافر</t>
        </is>
      </c>
      <c r="D160" s="21" t="inlineStr">
        <is>
          <t>هونغ كونغ · Hong Kong</t>
        </is>
      </c>
      <c r="E160" s="20" t="inlineStr">
        <is>
          <t>إرشادات السفر العامة</t>
        </is>
      </c>
      <c r="F160" s="21" t="inlineStr">
        <is>
          <t>تعديل صفحة إرشادات السفر العامة لدولة هونج كونج باللغة العربية</t>
        </is>
      </c>
      <c r="G160" s="17" t="n">
        <v>46279</v>
      </c>
      <c r="H160" s="22" t="n">
        <v>46279</v>
      </c>
      <c r="I160" s="20">
        <f>IF(OR(G160="",H160=""),"",H160-G160)</f>
        <v>0</v>
      </c>
      <c r="J160" s="20" t="str">
        <f>IF(I160="","",IF(I160&lt;=الملخص!$C$5,"ملتزم","متأخر"))</f>
        <v>ملتزم</v>
      </c>
      <c r="K160" s="19" t="inlineStr"/>
    </row>
    <row r="161">
      <c r="A161" s="15" t="n">
        <v>157</v>
      </c>
      <c r="B161" s="15" t="inlineStr">
        <is>
          <t>سبتمبر</t>
        </is>
      </c>
      <c r="C161" s="15" t="inlineStr">
        <is>
          <t>إرشادات المسافر</t>
        </is>
      </c>
      <c r="D161" s="16" t="inlineStr">
        <is>
          <t>تايلاند · Thailand</t>
        </is>
      </c>
      <c r="E161" s="15" t="inlineStr">
        <is>
          <t>إرشادات السفر العامة</t>
        </is>
      </c>
      <c r="F161" s="16" t="inlineStr">
        <is>
          <t>تعديل صفحة إرشادات السفر العامة لدولة تايلاند باللغتين العربية والإنجليزية</t>
        </is>
      </c>
      <c r="G161" s="17" t="n">
        <v>46279</v>
      </c>
      <c r="H161" s="18" t="n">
        <v>46279</v>
      </c>
      <c r="I161" s="15">
        <f>IF(OR(G161="",H161=""),"",H161-G161)</f>
        <v>0</v>
      </c>
      <c r="J161" s="15" t="str">
        <f>IF(I161="","",IF(I161&lt;=الملخص!$C$5,"ملتزم","متأخر"))</f>
        <v>ملتزم</v>
      </c>
      <c r="K161" s="19" t="inlineStr"/>
    </row>
    <row r="162">
      <c r="A162" s="20" t="n">
        <v>158</v>
      </c>
      <c r="B162" s="20" t="inlineStr">
        <is>
          <t>سبتمبر</t>
        </is>
      </c>
      <c r="C162" s="20" t="inlineStr">
        <is>
          <t>التنبيهات والتحذيرات</t>
        </is>
      </c>
      <c r="D162" s="21" t="inlineStr">
        <is>
          <t>اليابان · Japan</t>
        </is>
      </c>
      <c r="E162" s="20" t="inlineStr">
        <is>
          <t>نشر تنبيه</t>
        </is>
      </c>
      <c r="F162" s="21" t="inlineStr">
        <is>
          <t>حفاظًا على سلامتكم، يُرجى توخي الحيطة والحذر بسبب إعصار "Dujuan" المتوقع تأثيره في منطقة كانتو، كما نؤكد ضرورة الالتزام بتعليمات السلامة الصادرة عن السلطات.</t>
        </is>
      </c>
      <c r="G162" s="17" t="n">
        <v>46283</v>
      </c>
      <c r="H162" s="22" t="n">
        <v>46283</v>
      </c>
      <c r="I162" s="20">
        <f>IF(OR(G162="",H162=""),"",H162-G162)</f>
        <v>0</v>
      </c>
      <c r="J162" s="20" t="str">
        <f>IF(I162="","",IF(I162&lt;=الملخص!$C$5,"ملتزم","متأخر"))</f>
        <v>ملتزم</v>
      </c>
      <c r="K162" s="19" t="inlineStr"/>
    </row>
    <row r="163">
      <c r="A163" s="15" t="n">
        <v>159</v>
      </c>
      <c r="B163" s="15" t="inlineStr">
        <is>
          <t>سبتمبر</t>
        </is>
      </c>
      <c r="C163" s="15" t="inlineStr">
        <is>
          <t>التنبيهات والتحذيرات</t>
        </is>
      </c>
      <c r="D163" s="16" t="inlineStr">
        <is>
          <t>الولايات المتحدة الأمريكية · United States</t>
        </is>
      </c>
      <c r="E163" s="15" t="inlineStr">
        <is>
          <t>نشر تنبيه</t>
        </is>
      </c>
      <c r="F163" s="16" t="inlineStr">
        <is>
          <t>حفاظًا على سلامتكم، يُرجى توخي الحيطة والحذر نظرًا للتأثيرات المحتملة لظاهرة «إل نينيو» في ولاية كاليفورنيا، وما قد يرتبط بها من أحوال جوية شديدة وأمطار غزيرة، كما نؤكد ضرورة الالتزام بتعليمات السلامة الصادرة عن السلطات.</t>
        </is>
      </c>
      <c r="G163" s="17" t="n">
        <v>46287</v>
      </c>
      <c r="H163" s="18" t="n">
        <v>46287</v>
      </c>
      <c r="I163" s="15">
        <f>IF(OR(G163="",H163=""),"",H163-G163)</f>
        <v>0</v>
      </c>
      <c r="J163" s="15" t="str">
        <f>IF(I163="","",IF(I163&lt;=الملخص!$C$5,"ملتزم","متأخر"))</f>
        <v>ملتزم</v>
      </c>
      <c r="K163" s="19" t="inlineStr"/>
    </row>
    <row r="164">
      <c r="A164" s="20" t="n">
        <v>160</v>
      </c>
      <c r="B164" s="20" t="inlineStr">
        <is>
          <t>سبتمبر</t>
        </is>
      </c>
      <c r="C164" s="20" t="inlineStr">
        <is>
          <t>التنبيهات والتحذيرات</t>
        </is>
      </c>
      <c r="D164" s="21" t="inlineStr">
        <is>
          <t>المكسيك · Mexico</t>
        </is>
      </c>
      <c r="E164" s="20" t="inlineStr">
        <is>
          <t>نشر تنبيه</t>
        </is>
      </c>
      <c r="F164" s="21" t="inlineStr">
        <is>
          <t>حفاظًا على سلامتكم، يُرجى توخي الحيطة والحذر بسبب إعصار «بولو» وما قد يصاحبه من أمطار غزيرة ورياح قوية وارتفاع في أمواج البحر في عدد من المناطق المكسيكية، كما نؤكد ضرورة الالتزام بتعليمات السلامة الصادرة عن السلطات.</t>
        </is>
      </c>
      <c r="G164" s="17" t="n">
        <v>46287</v>
      </c>
      <c r="H164" s="22" t="n">
        <v>46287</v>
      </c>
      <c r="I164" s="20">
        <f>IF(OR(G164="",H164=""),"",H164-G164)</f>
        <v>0</v>
      </c>
      <c r="J164" s="20" t="str">
        <f>IF(I164="","",IF(I164&lt;=الملخص!$C$5,"ملتزم","متأخر"))</f>
        <v>ملتزم</v>
      </c>
      <c r="K164" s="19" t="inlineStr"/>
    </row>
    <row r="165">
      <c r="A165" s="15" t="n">
        <v>161</v>
      </c>
      <c r="B165" s="15" t="inlineStr">
        <is>
          <t>سبتمبر</t>
        </is>
      </c>
      <c r="C165" s="15" t="inlineStr">
        <is>
          <t>إرشادات المسافر</t>
        </is>
      </c>
      <c r="D165" s="16" t="inlineStr">
        <is>
          <t>البرتغال · Portugal</t>
        </is>
      </c>
      <c r="E165" s="15" t="inlineStr">
        <is>
          <t>القوانين والتعليمات والجمارك</t>
        </is>
      </c>
      <c r="F165" s="16" t="inlineStr">
        <is>
          <t>تعديل خانة القوانين والتعليمات والجمارك في صفحة المسافر الإماراتي لدولة البرتغال</t>
        </is>
      </c>
      <c r="G165" s="17" t="n">
        <v>46287</v>
      </c>
      <c r="H165" s="18" t="n">
        <v>46287</v>
      </c>
      <c r="I165" s="15">
        <f>IF(OR(G165="",H165=""),"",H165-G165)</f>
        <v>0</v>
      </c>
      <c r="J165" s="15" t="str">
        <f>IF(I165="","",IF(I165&lt;=الملخص!$C$5,"ملتزم","متأخر"))</f>
        <v>ملتزم</v>
      </c>
      <c r="K165" s="19" t="inlineStr"/>
    </row>
    <row r="166">
      <c r="A166" s="20" t="n">
        <v>162</v>
      </c>
      <c r="B166" s="20" t="inlineStr">
        <is>
          <t>سبتمبر</t>
        </is>
      </c>
      <c r="C166" s="20" t="inlineStr">
        <is>
          <t>التنبيهات والتحذيرات</t>
        </is>
      </c>
      <c r="D166" s="21" t="inlineStr">
        <is>
          <t>تنزانيا · Tanzania</t>
        </is>
      </c>
      <c r="E166" s="20" t="inlineStr">
        <is>
          <t>نشر تنبيه (تحديث)</t>
        </is>
      </c>
      <c r="F166" s="21" t="inlineStr">
        <is>
          <t>حفاظاً على سلامتكم، يُرجى توخي الحيطة والحذر بسبب التوقعات بتأثر إقليم زنجبار بظاهرة «إل نينيو» وما قد يصاحبها من أمطار غزيرة، كما نؤكد ضرورة الالتزام بتعليمات السلامة الصادرة عن السلطات.</t>
        </is>
      </c>
      <c r="G166" s="17" t="n">
        <v>46290</v>
      </c>
      <c r="H166" s="22" t="n">
        <v>46290</v>
      </c>
      <c r="I166" s="20">
        <f>IF(OR(G166="",H166=""),"",H166-G166)</f>
        <v>0</v>
      </c>
      <c r="J166" s="20" t="str">
        <f>IF(I166="","",IF(I166&lt;=الملخص!$C$5,"ملتزم","متأخر"))</f>
        <v>ملتزم</v>
      </c>
      <c r="K166" s="19" t="inlineStr"/>
    </row>
    <row r="167">
      <c r="A167" s="15" t="n">
        <v>163</v>
      </c>
      <c r="B167" s="15" t="inlineStr">
        <is>
          <t>سبتمبر</t>
        </is>
      </c>
      <c r="C167" s="15" t="inlineStr">
        <is>
          <t>التنبيهات والتحذيرات</t>
        </is>
      </c>
      <c r="D167" s="16" t="inlineStr">
        <is>
          <t>الولايات المتحدة الأمريكية · United States</t>
        </is>
      </c>
      <c r="E167" s="15" t="inlineStr">
        <is>
          <t>نشر تنبيه (تحديث)</t>
        </is>
      </c>
      <c r="F167" s="16" t="inlineStr">
        <is>
          <t>حفاظًا على سلامتكم، يُرجى توخي الحيطة والحذر بسبب:
- الأمطار الغزيرة والرياح المصاحبة للمنخفض الجوي في مدينة نيويورك والولايات والمناطق المجاورة.
- التأثيرات المحتملة لظاهرة «إل نينيو» في ولاية كاليفورنيا.
كما نؤكد ضرورة الالتزام بتعليمات السلامة الصادرة عن السلطات.</t>
        </is>
      </c>
      <c r="G167" s="17" t="n">
        <v>46291</v>
      </c>
      <c r="H167" s="18" t="n">
        <v>46291</v>
      </c>
      <c r="I167" s="15">
        <f>IF(OR(G167="",H167=""),"",H167-G167)</f>
        <v>0</v>
      </c>
      <c r="J167" s="15" t="str">
        <f>IF(I167="","",IF(I167&lt;=الملخص!$C$5,"ملتزم","متأخر"))</f>
        <v>ملتزم</v>
      </c>
      <c r="K167" s="19" t="inlineStr"/>
    </row>
    <row r="168">
      <c r="A168" s="20" t="n">
        <v>164</v>
      </c>
      <c r="B168" s="20" t="inlineStr">
        <is>
          <t>سبتمبر</t>
        </is>
      </c>
      <c r="C168" s="20" t="inlineStr">
        <is>
          <t>التنبيهات والتحذيرات</t>
        </is>
      </c>
      <c r="D168" s="21" t="inlineStr">
        <is>
          <t>تايلاند · Thailand</t>
        </is>
      </c>
      <c r="E168" s="20" t="inlineStr">
        <is>
          <t>نشر تنبيه</t>
        </is>
      </c>
      <c r="F168" s="21" t="inlineStr">
        <is>
          <t>حفاظاً على سلامتكم، يُرجى توخي الحيطة والحذر بسبب الأمطار الغزيرة والفيضانات في العاصمة بانكوك، كما نؤكد ضرورة الالتزام بتعليمات السلامة الصادرة عن السلطات.</t>
        </is>
      </c>
      <c r="G168" s="17" t="n">
        <v>46291</v>
      </c>
      <c r="H168" s="22" t="n">
        <v>46291</v>
      </c>
      <c r="I168" s="20">
        <f>IF(OR(G168="",H168=""),"",H168-G168)</f>
        <v>0</v>
      </c>
      <c r="J168" s="20" t="str">
        <f>IF(I168="","",IF(I168&lt;=الملخص!$C$5,"ملتزم","متأخر"))</f>
        <v>ملتزم</v>
      </c>
      <c r="K168" s="19" t="inlineStr"/>
    </row>
    <row r="169">
      <c r="A169" s="15" t="n">
        <v>165</v>
      </c>
      <c r="B169" s="15" t="inlineStr">
        <is>
          <t>سبتمبر</t>
        </is>
      </c>
      <c r="C169" s="15" t="inlineStr">
        <is>
          <t>التنبيهات والتحذيرات</t>
        </is>
      </c>
      <c r="D169" s="16" t="inlineStr">
        <is>
          <t>ماليزيا · Malaysia</t>
        </is>
      </c>
      <c r="E169" s="15" t="inlineStr">
        <is>
          <t>حذف تنبيه</t>
        </is>
      </c>
      <c r="F169" s="16" t="inlineStr">
        <is>
          <t>حذف تنبيه ماليزيا من صفحة المسافر الإماراتي باللغتين العربية والإنجليزية</t>
        </is>
      </c>
      <c r="G169" s="17" t="n">
        <v>46293</v>
      </c>
      <c r="H169" s="18" t="n">
        <v>46293</v>
      </c>
      <c r="I169" s="15">
        <f>IF(OR(G169="",H169=""),"",H169-G169)</f>
        <v>0</v>
      </c>
      <c r="J169" s="15" t="str">
        <f>IF(I169="","",IF(I169&lt;=الملخص!$C$5,"ملتزم","متأخر"))</f>
        <v>ملتزم</v>
      </c>
      <c r="K169" s="19" t="inlineStr"/>
    </row>
    <row r="170">
      <c r="A170" s="20" t="n">
        <v>166</v>
      </c>
      <c r="B170" s="20" t="inlineStr">
        <is>
          <t>سبتمبر</t>
        </is>
      </c>
      <c r="C170" s="20" t="inlineStr">
        <is>
          <t>الإعفاءات من التأشيرة</t>
        </is>
      </c>
      <c r="D170" s="21" t="inlineStr">
        <is>
          <t>ليسوتو · Lesotho</t>
        </is>
      </c>
      <c r="E170" s="20" t="inlineStr">
        <is>
          <t>تحديث صفحة الإعفاء</t>
        </is>
      </c>
      <c r="F170" s="21" t="inlineStr">
        <is>
          <t>تعديل خانة الإعفاء من التأشيرة في صفحة المسافر الإماراتي لمملكة ليسوتو باللغتين العربية والإنجليزية</t>
        </is>
      </c>
      <c r="G170" s="17" t="n">
        <v>46293</v>
      </c>
      <c r="H170" s="22" t="n">
        <v>46293</v>
      </c>
      <c r="I170" s="20">
        <f>IF(OR(G170="",H170=""),"",H170-G170)</f>
        <v>0</v>
      </c>
      <c r="J170" s="20" t="str">
        <f>IF(I170="","",IF(I170&lt;=الملخص!$C$5,"ملتزم","متأخر"))</f>
        <v>ملتزم</v>
      </c>
      <c r="K170" s="19" t="inlineStr"/>
    </row>
    <row r="171">
      <c r="A171" s="15" t="n">
        <v>167</v>
      </c>
      <c r="B171" s="15" t="inlineStr">
        <is>
          <t>سبتمبر</t>
        </is>
      </c>
      <c r="C171" s="15" t="inlineStr">
        <is>
          <t>إرشادات المسافر</t>
        </is>
      </c>
      <c r="D171" s="16" t="inlineStr">
        <is>
          <t>ليسوتو · Lesotho</t>
        </is>
      </c>
      <c r="E171" s="15" t="inlineStr">
        <is>
          <t>إرشادات السفر العامة</t>
        </is>
      </c>
      <c r="F171" s="16" t="inlineStr">
        <is>
          <t>تعديل خانة إرشادات السفر العامة في صفحة المسافر الإماراتي لمملكة ليسوتو باللغتين العربية والإنجليزية</t>
        </is>
      </c>
      <c r="G171" s="17" t="n">
        <v>46293</v>
      </c>
      <c r="H171" s="18" t="n">
        <v>46293</v>
      </c>
      <c r="I171" s="15">
        <f>IF(OR(G171="",H171=""),"",H171-G171)</f>
        <v>0</v>
      </c>
      <c r="J171" s="15" t="str">
        <f>IF(I171="","",IF(I171&lt;=الملخص!$C$5,"ملتزم","متأخر"))</f>
        <v>ملتزم</v>
      </c>
      <c r="K171" s="19" t="inlineStr"/>
    </row>
    <row r="172">
      <c r="A172" s="20" t="n">
        <v>168</v>
      </c>
      <c r="B172" s="20" t="inlineStr">
        <is>
          <t>سبتمبر</t>
        </is>
      </c>
      <c r="C172" s="20" t="inlineStr">
        <is>
          <t>إرشادات المسافر</t>
        </is>
      </c>
      <c r="D172" s="21" t="inlineStr">
        <is>
          <t>ليسوتو · Lesotho</t>
        </is>
      </c>
      <c r="E172" s="20" t="inlineStr">
        <is>
          <t>القوانين والتعليمات والجمارك</t>
        </is>
      </c>
      <c r="F172" s="21" t="inlineStr">
        <is>
          <t>تعديل خانة القوانين والتعليمات والجمارك في صفحة المسافر الإماراتي لمملكة ليسوتو باللغتين العربية والإنجليزية</t>
        </is>
      </c>
      <c r="G172" s="17" t="n">
        <v>46293</v>
      </c>
      <c r="H172" s="22" t="n">
        <v>46293</v>
      </c>
      <c r="I172" s="20">
        <f>IF(OR(G172="",H172=""),"",H172-G172)</f>
        <v>0</v>
      </c>
      <c r="J172" s="20" t="str">
        <f>IF(I172="","",IF(I172&lt;=الملخص!$C$5,"ملتزم","متأخر"))</f>
        <v>ملتزم</v>
      </c>
      <c r="K172" s="19" t="inlineStr"/>
    </row>
    <row r="173">
      <c r="A173" s="15" t="n">
        <v>169</v>
      </c>
      <c r="B173" s="15" t="inlineStr">
        <is>
          <t>سبتمبر</t>
        </is>
      </c>
      <c r="C173" s="15" t="inlineStr">
        <is>
          <t>إرشادات المسافر</t>
        </is>
      </c>
      <c r="D173" s="16" t="inlineStr">
        <is>
          <t>ليسوتو · Lesotho</t>
        </is>
      </c>
      <c r="E173" s="15" t="inlineStr">
        <is>
          <t>الكوارث والأزمات</t>
        </is>
      </c>
      <c r="F173" s="16" t="inlineStr">
        <is>
          <t>تعديل خانة الكوارث والأزمات في صفحة المسافر الإماراتي لمملكة ليسوتو باللغتين العربية والإنجليزية</t>
        </is>
      </c>
      <c r="G173" s="17" t="n">
        <v>46293</v>
      </c>
      <c r="H173" s="18" t="n">
        <v>46293</v>
      </c>
      <c r="I173" s="15">
        <f>IF(OR(G173="",H173=""),"",H173-G173)</f>
        <v>0</v>
      </c>
      <c r="J173" s="15" t="str">
        <f>IF(I173="","",IF(I173&lt;=الملخص!$C$5,"ملتزم","متأخر"))</f>
        <v>ملتزم</v>
      </c>
      <c r="K173" s="19" t="inlineStr"/>
    </row>
    <row r="174">
      <c r="A174" s="20" t="n">
        <v>170</v>
      </c>
      <c r="B174" s="20" t="inlineStr">
        <is>
          <t>سبتمبر</t>
        </is>
      </c>
      <c r="C174" s="20" t="inlineStr">
        <is>
          <t>إرشادات المسافر</t>
        </is>
      </c>
      <c r="D174" s="21" t="inlineStr">
        <is>
          <t>ليسوتو · Lesotho</t>
        </is>
      </c>
      <c r="E174" s="20" t="inlineStr">
        <is>
          <t>العادات والتقاليد والعطلات</t>
        </is>
      </c>
      <c r="F174" s="21" t="inlineStr">
        <is>
          <t>تعديل خانة العادات والتقاليد والعطلات في صفحة المسافر الإماراتي لمملكة ليسوتو باللغتين العربية والإنجليزية</t>
        </is>
      </c>
      <c r="G174" s="17" t="n">
        <v>46293</v>
      </c>
      <c r="H174" s="22" t="n">
        <v>46293</v>
      </c>
      <c r="I174" s="20">
        <f>IF(OR(G174="",H174=""),"",H174-G174)</f>
        <v>0</v>
      </c>
      <c r="J174" s="20" t="str">
        <f>IF(I174="","",IF(I174&lt;=الملخص!$C$5,"ملتزم","متأخر"))</f>
        <v>ملتزم</v>
      </c>
      <c r="K174" s="19" t="inlineStr"/>
    </row>
    <row r="175">
      <c r="A175" s="15" t="n">
        <v>171</v>
      </c>
      <c r="B175" s="15" t="inlineStr">
        <is>
          <t>سبتمبر</t>
        </is>
      </c>
      <c r="C175" s="15" t="inlineStr">
        <is>
          <t>التنبيهات والتحذيرات</t>
        </is>
      </c>
      <c r="D175" s="16" t="inlineStr">
        <is>
          <t>ماليزيا · Malaysia</t>
        </is>
      </c>
      <c r="E175" s="15" t="inlineStr">
        <is>
          <t>نشر تنبيه</t>
        </is>
      </c>
      <c r="F175" s="16" t="inlineStr">
        <is>
          <t>حفاظًا على سلامتكم، يُرجى توخي الحيطة والحذر بسبب تلوث جودة الهواء بالدخان الضبابي العابر للحدود جراء حرائق الغابات في إندونيسيا، كما نؤكد ضرورة الالتزام بتعليمات السلامة الصادرة عن السلطات.</t>
        </is>
      </c>
      <c r="G175" s="17" t="n">
        <v>46294</v>
      </c>
      <c r="H175" s="18" t="n">
        <v>46294</v>
      </c>
      <c r="I175" s="15">
        <f>IF(OR(G175="",H175=""),"",H175-G175)</f>
        <v>0</v>
      </c>
      <c r="J175" s="15" t="str">
        <f>IF(I175="","",IF(I175&lt;=الملخص!$C$5,"ملتزم","متأخر"))</f>
        <v>ملتزم</v>
      </c>
      <c r="K175" s="19" t="inlineStr"/>
    </row>
    <row r="176">
      <c r="A176" s="20" t="n">
        <v>172</v>
      </c>
      <c r="B176" s="20" t="inlineStr">
        <is>
          <t>سبتمبر</t>
        </is>
      </c>
      <c r="C176" s="20" t="inlineStr">
        <is>
          <t>الإعفاءات من التأشيرة</t>
        </is>
      </c>
      <c r="D176" s="21" t="inlineStr">
        <is>
          <t>بوتسوانا · Botswana</t>
        </is>
      </c>
      <c r="E176" s="20" t="inlineStr">
        <is>
          <t>تحديث صفحة الإعفاء</t>
        </is>
      </c>
      <c r="F176" s="21" t="inlineStr">
        <is>
          <t>تعديل خانة الإعفاء من التأشيرة في صفحة المسافر الإماراتي لجمهورية بوتسوانا باللغتين العربية والإنجليزية</t>
        </is>
      </c>
      <c r="G176" s="17" t="n">
        <v>46294</v>
      </c>
      <c r="H176" s="22" t="n">
        <v>46294</v>
      </c>
      <c r="I176" s="20">
        <f>IF(OR(G176="",H176=""),"",H176-G176)</f>
        <v>0</v>
      </c>
      <c r="J176" s="20" t="str">
        <f>IF(I176="","",IF(I176&lt;=الملخص!$C$5,"ملتزم","متأخر"))</f>
        <v>ملتزم</v>
      </c>
      <c r="K176" s="19" t="inlineStr"/>
    </row>
    <row r="177">
      <c r="A177" s="15" t="n">
        <v>173</v>
      </c>
      <c r="B177" s="15" t="inlineStr">
        <is>
          <t>سبتمبر</t>
        </is>
      </c>
      <c r="C177" s="15" t="inlineStr">
        <is>
          <t>إرشادات المسافر</t>
        </is>
      </c>
      <c r="D177" s="16" t="inlineStr">
        <is>
          <t>بوتسوانا · Botswana</t>
        </is>
      </c>
      <c r="E177" s="15" t="inlineStr">
        <is>
          <t>إرشادات السفر العامة</t>
        </is>
      </c>
      <c r="F177" s="16" t="inlineStr">
        <is>
          <t>تعديل خانة إرشادات السفر العامة في صفحة المسافر الإماراتي لجمهورية بوتسوانا باللغتين العربية والإنجليزية</t>
        </is>
      </c>
      <c r="G177" s="17" t="n">
        <v>46294</v>
      </c>
      <c r="H177" s="18" t="n">
        <v>46294</v>
      </c>
      <c r="I177" s="15">
        <f>IF(OR(G177="",H177=""),"",H177-G177)</f>
        <v>0</v>
      </c>
      <c r="J177" s="15" t="str">
        <f>IF(I177="","",IF(I177&lt;=الملخص!$C$5,"ملتزم","متأخر"))</f>
        <v>ملتزم</v>
      </c>
      <c r="K177" s="19" t="inlineStr"/>
    </row>
    <row r="178">
      <c r="A178" s="20" t="n">
        <v>174</v>
      </c>
      <c r="B178" s="20" t="inlineStr">
        <is>
          <t>سبتمبر</t>
        </is>
      </c>
      <c r="C178" s="20" t="inlineStr">
        <is>
          <t>إرشادات المسافر</t>
        </is>
      </c>
      <c r="D178" s="21" t="inlineStr">
        <is>
          <t>بوتسوانا · Botswana</t>
        </is>
      </c>
      <c r="E178" s="20" t="inlineStr">
        <is>
          <t>القوانين والتعليمات والجمارك</t>
        </is>
      </c>
      <c r="F178" s="21" t="inlineStr">
        <is>
          <t>تعديل خانة القوانين والتعليمات والجمارك في صفحة المسافر الإماراتي لجمهورية بوتسوانا باللغتين العربية والإنجليزية</t>
        </is>
      </c>
      <c r="G178" s="17" t="n">
        <v>46294</v>
      </c>
      <c r="H178" s="22" t="n">
        <v>46294</v>
      </c>
      <c r="I178" s="20">
        <f>IF(OR(G178="",H178=""),"",H178-G178)</f>
        <v>0</v>
      </c>
      <c r="J178" s="20" t="str">
        <f>IF(I178="","",IF(I178&lt;=الملخص!$C$5,"ملتزم","متأخر"))</f>
        <v>ملتزم</v>
      </c>
      <c r="K178" s="19" t="inlineStr"/>
    </row>
    <row r="179">
      <c r="A179" s="15" t="n">
        <v>175</v>
      </c>
      <c r="B179" s="15" t="inlineStr">
        <is>
          <t>سبتمبر</t>
        </is>
      </c>
      <c r="C179" s="15" t="inlineStr">
        <is>
          <t>إرشادات المسافر</t>
        </is>
      </c>
      <c r="D179" s="16" t="inlineStr">
        <is>
          <t>بوتسوانا · Botswana</t>
        </is>
      </c>
      <c r="E179" s="15" t="inlineStr">
        <is>
          <t>الكوارث والأزمات</t>
        </is>
      </c>
      <c r="F179" s="16" t="inlineStr">
        <is>
          <t>تعديل خانة الكوارث والأزمات في صفحة المسافر الإماراتي لجمهورية بوتسوانا باللغتين العربية والإنجليزية</t>
        </is>
      </c>
      <c r="G179" s="17" t="n">
        <v>46294</v>
      </c>
      <c r="H179" s="18" t="n">
        <v>46294</v>
      </c>
      <c r="I179" s="15">
        <f>IF(OR(G179="",H179=""),"",H179-G179)</f>
        <v>0</v>
      </c>
      <c r="J179" s="15" t="str">
        <f>IF(I179="","",IF(I179&lt;=الملخص!$C$5,"ملتزم","متأخر"))</f>
        <v>ملتزم</v>
      </c>
      <c r="K179" s="19" t="inlineStr"/>
    </row>
    <row r="180">
      <c r="A180" s="20" t="n">
        <v>176</v>
      </c>
      <c r="B180" s="20" t="inlineStr">
        <is>
          <t>سبتمبر</t>
        </is>
      </c>
      <c r="C180" s="20" t="inlineStr">
        <is>
          <t>إرشادات المسافر</t>
        </is>
      </c>
      <c r="D180" s="21" t="inlineStr">
        <is>
          <t>بوتسوانا · Botswana</t>
        </is>
      </c>
      <c r="E180" s="20" t="inlineStr">
        <is>
          <t>العادات والتقاليد والعطلات</t>
        </is>
      </c>
      <c r="F180" s="21" t="inlineStr">
        <is>
          <t>تعديل خانة العادات والتقاليد والعطلات في صفحة المسافر الإماراتي لجمهورية بوتسوانا باللغتين العربية والإنجليزية</t>
        </is>
      </c>
      <c r="G180" s="17" t="n">
        <v>46294</v>
      </c>
      <c r="H180" s="22" t="n">
        <v>46294</v>
      </c>
      <c r="I180" s="20">
        <f>IF(OR(G180="",H180=""),"",H180-G180)</f>
        <v>0</v>
      </c>
      <c r="J180" s="20" t="str">
        <f>IF(I180="","",IF(I180&lt;=الملخص!$C$5,"ملتزم","متأخر"))</f>
        <v>ملتزم</v>
      </c>
      <c r="K180" s="19" t="inlineStr"/>
    </row>
    <row r="181">
      <c r="A181" s="15" t="n">
        <v>177</v>
      </c>
      <c r="B181" s="15" t="inlineStr">
        <is>
          <t>سبتمبر</t>
        </is>
      </c>
      <c r="C181" s="15" t="inlineStr">
        <is>
          <t>التنبيهات والتحذيرات</t>
        </is>
      </c>
      <c r="D181" s="16" t="inlineStr">
        <is>
          <t>الولايات المتحدة الأمريكية · United States</t>
        </is>
      </c>
      <c r="E181" s="15" t="inlineStr">
        <is>
          <t>نشر تنبيه (تحديث)</t>
        </is>
      </c>
      <c r="F181" s="16" t="inlineStr">
        <is>
          <t>حفاظًا على سلامتكم، يُرجى توخي الحيطة والحذر بسبب:
- الأمطار الغزيرة التي قد تؤثر في أجزاء من ولايات تكساس وأوكلاهوما وأركنساس ولويزيانا.
- التأثيرات المحتملة لظاهرة «إل نينيو» في ولاية كاليفورنيا.
كما نؤكد ضرورة الالتزام بتعليمات السلامة الصادرة عن السلطات.</t>
        </is>
      </c>
      <c r="G181" s="17" t="n">
        <v>46295</v>
      </c>
      <c r="H181" s="18" t="n">
        <v>46295</v>
      </c>
      <c r="I181" s="15">
        <f>IF(OR(G181="",H181=""),"",H181-G181)</f>
        <v>0</v>
      </c>
      <c r="J181" s="15" t="str">
        <f>IF(I181="","",IF(I181&lt;=الملخص!$C$5,"ملتزم","متأخر"))</f>
        <v>ملتزم</v>
      </c>
      <c r="K181" s="19" t="inlineStr"/>
    </row>
    <row r="182">
      <c r="A182" s="20" t="n">
        <v>178</v>
      </c>
      <c r="B182" s="20" t="inlineStr">
        <is>
          <t>سبتمبر</t>
        </is>
      </c>
      <c r="C182" s="20" t="inlineStr">
        <is>
          <t>التنبيهات والتحذيرات</t>
        </is>
      </c>
      <c r="D182" s="21" t="inlineStr">
        <is>
          <t>الفلبين · Philippines</t>
        </is>
      </c>
      <c r="E182" s="20" t="inlineStr">
        <is>
          <t>حذف تنبيه</t>
        </is>
      </c>
      <c r="F182" s="21" t="inlineStr">
        <is>
          <t>حذف تنبيه الفلبين من صفحة المسافر الإماراتي باللغتين العربية والإنجليزية</t>
        </is>
      </c>
      <c r="G182" s="17" t="n">
        <v>46295</v>
      </c>
      <c r="H182" s="22" t="n">
        <v>46295</v>
      </c>
      <c r="I182" s="20">
        <f>IF(OR(G182="",H182=""),"",H182-G182)</f>
        <v>0</v>
      </c>
      <c r="J182" s="20" t="str">
        <f>IF(I182="","",IF(I182&lt;=الملخص!$C$5,"ملتزم","متأخر"))</f>
        <v>ملتزم</v>
      </c>
      <c r="K182" s="19" t="inlineStr"/>
    </row>
  </sheetData>
  <autoFilter ref="A4:K182"/>
  <mergeCells count="2">
    <mergeCell ref="A2:K2"/>
    <mergeCell ref="A1:K1"/>
  </mergeCells>
  <conditionalFormatting sqref="J5:J182">
    <cfRule type="cellIs" priority="1" operator="equal" dxfId="0">
      <formula>"ملتزم"</formula>
    </cfRule>
    <cfRule type="cellIs" priority="2" operator="equal" dxfId="1">
      <formula>"متأخر"</formula>
    </cfRule>
  </conditionalFormatting>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I57"/>
  <sheetViews>
    <sheetView rightToLeft="1"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40" customWidth="1" min="2" max="2"/>
    <col width="10" customWidth="1" min="3" max="3"/>
    <col width="10" customWidth="1" min="4" max="4"/>
    <col width="10" customWidth="1" min="5" max="5"/>
    <col width="15" customWidth="1" min="6" max="6"/>
    <col width="10" customWidth="1" min="7" max="7"/>
    <col width="10" customWidth="1" min="8" max="8"/>
    <col width="14" customWidth="1" min="9" max="9"/>
  </cols>
  <sheetData>
    <row r="1" ht="30" customHeight="1">
      <c r="A1" s="1" t="inlineStr">
        <is>
          <t>الدول والالتزام بأوقات التحديث – الربع الثالث 2026</t>
        </is>
      </c>
    </row>
    <row r="2">
      <c r="A2" s="2" t="inlineStr">
        <is>
          <t>Countries &amp; On-time Update Compliance – Q3 2026</t>
        </is>
      </c>
    </row>
    <row r="4" ht="34" customHeight="1">
      <c r="A4" s="9" t="inlineStr">
        <is>
          <t>م</t>
        </is>
      </c>
      <c r="B4" s="9" t="inlineStr">
        <is>
          <t>الدولة
Country</t>
        </is>
      </c>
      <c r="C4" s="9" t="inlineStr">
        <is>
          <t>يوليو</t>
        </is>
      </c>
      <c r="D4" s="9" t="inlineStr">
        <is>
          <t>أغسطس</t>
        </is>
      </c>
      <c r="E4" s="9" t="inlineStr">
        <is>
          <t>سبتمبر</t>
        </is>
      </c>
      <c r="F4" s="9" t="inlineStr">
        <is>
          <t>إجمالي التحديثات</t>
        </is>
      </c>
      <c r="G4" s="9" t="inlineStr">
        <is>
          <t>ملتزم</t>
        </is>
      </c>
      <c r="H4" s="9" t="inlineStr">
        <is>
          <t>متأخر</t>
        </is>
      </c>
      <c r="I4" s="9" t="inlineStr">
        <is>
          <t>نسبة الالتزام</t>
        </is>
      </c>
    </row>
    <row r="5">
      <c r="A5" s="15" t="n">
        <v>1</v>
      </c>
      <c r="B5" s="16" t="inlineStr">
        <is>
          <t>الولايات المتحدة الأمريكية · United States</t>
        </is>
      </c>
      <c r="C5" s="15">
        <f>COUNTIFS('سجل التحديثات'!$D$5:$D$182,$B5,'سجل التحديثات'!$B$5:$B$182,"يوليو")</f>
        <v>5</v>
      </c>
      <c r="D5" s="15">
        <f>COUNTIFS('سجل التحديثات'!$D$5:$D$182,$B5,'سجل التحديثات'!$B$5:$B$182,"أغسطس")</f>
        <v>3</v>
      </c>
      <c r="E5" s="15">
        <f>COUNTIFS('سجل التحديثات'!$D$5:$D$182,$B5,'سجل التحديثات'!$B$5:$B$182,"سبتمبر")</f>
        <v>4</v>
      </c>
      <c r="F5" s="15">
        <f>SUM(C5:E5)</f>
        <v>12</v>
      </c>
      <c r="G5" s="15">
        <f>COUNTIFS('سجل التحديثات'!$D$5:$D$182,$B5,'سجل التحديثات'!$J$5:$J$182,"ملتزم")</f>
        <v>12</v>
      </c>
      <c r="H5" s="15">
        <f>COUNTIFS('سجل التحديثات'!$D$5:$D$182,$B5,'سجل التحديثات'!$J$5:$J$182,"متأخر")</f>
        <v>0</v>
      </c>
      <c r="I5" s="23">
        <f>IF(F5=0,0,G5/F5)</f>
        <v>1.0</v>
      </c>
    </row>
    <row r="6">
      <c r="A6" s="20" t="n">
        <v>2</v>
      </c>
      <c r="B6" s="21" t="inlineStr">
        <is>
          <t>اليابان · Japan</t>
        </is>
      </c>
      <c r="C6" s="20">
        <f>COUNTIFS('سجل التحديثات'!$D$5:$D$182,$B6,'سجل التحديثات'!$B$5:$B$182,"يوليو")</f>
        <v>0</v>
      </c>
      <c r="D6" s="20">
        <f>COUNTIFS('سجل التحديثات'!$D$5:$D$182,$B6,'سجل التحديثات'!$B$5:$B$182,"أغسطس")</f>
        <v>6</v>
      </c>
      <c r="E6" s="20">
        <f>COUNTIFS('سجل التحديثات'!$D$5:$D$182,$B6,'سجل التحديثات'!$B$5:$B$182,"سبتمبر")</f>
        <v>3</v>
      </c>
      <c r="F6" s="20">
        <f>SUM(C6:E6)</f>
        <v>9</v>
      </c>
      <c r="G6" s="20">
        <f>COUNTIFS('سجل التحديثات'!$D$5:$D$182,$B6,'سجل التحديثات'!$J$5:$J$182,"ملتزم")</f>
        <v>9</v>
      </c>
      <c r="H6" s="20">
        <f>COUNTIFS('سجل التحديثات'!$D$5:$D$182,$B6,'سجل التحديثات'!$J$5:$J$182,"متأخر")</f>
        <v>0</v>
      </c>
      <c r="I6" s="24">
        <f>IF(F6=0,0,G6/F6)</f>
        <v>1.0</v>
      </c>
    </row>
    <row r="7">
      <c r="A7" s="15" t="n">
        <v>3</v>
      </c>
      <c r="B7" s="16" t="inlineStr">
        <is>
          <t>الصين · China</t>
        </is>
      </c>
      <c r="C7" s="15">
        <f>COUNTIFS('سجل التحديثات'!$D$5:$D$182,$B7,'سجل التحديثات'!$B$5:$B$182,"يوليو")</f>
        <v>5</v>
      </c>
      <c r="D7" s="15">
        <f>COUNTIFS('سجل التحديثات'!$D$5:$D$182,$B7,'سجل التحديثات'!$B$5:$B$182,"أغسطس")</f>
        <v>2</v>
      </c>
      <c r="E7" s="15">
        <f>COUNTIFS('سجل التحديثات'!$D$5:$D$182,$B7,'سجل التحديثات'!$B$5:$B$182,"سبتمبر")</f>
        <v>0</v>
      </c>
      <c r="F7" s="15">
        <f>SUM(C7:E7)</f>
        <v>7</v>
      </c>
      <c r="G7" s="15">
        <f>COUNTIFS('سجل التحديثات'!$D$5:$D$182,$B7,'سجل التحديثات'!$J$5:$J$182,"ملتزم")</f>
        <v>7</v>
      </c>
      <c r="H7" s="15">
        <f>COUNTIFS('سجل التحديثات'!$D$5:$D$182,$B7,'سجل التحديثات'!$J$5:$J$182,"متأخر")</f>
        <v>0</v>
      </c>
      <c r="I7" s="23">
        <f>IF(F7=0,0,G7/F7)</f>
        <v>1.0</v>
      </c>
    </row>
    <row r="8">
      <c r="A8" s="20" t="n">
        <v>4</v>
      </c>
      <c r="B8" s="21" t="inlineStr">
        <is>
          <t>فيتنام · Vietnam</t>
        </is>
      </c>
      <c r="C8" s="20">
        <f>COUNTIFS('سجل التحديثات'!$D$5:$D$182,$B8,'سجل التحديثات'!$B$5:$B$182,"يوليو")</f>
        <v>2</v>
      </c>
      <c r="D8" s="20">
        <f>COUNTIFS('سجل التحديثات'!$D$5:$D$182,$B8,'سجل التحديثات'!$B$5:$B$182,"أغسطس")</f>
        <v>2</v>
      </c>
      <c r="E8" s="20">
        <f>COUNTIFS('سجل التحديثات'!$D$5:$D$182,$B8,'سجل التحديثات'!$B$5:$B$182,"سبتمبر")</f>
        <v>3</v>
      </c>
      <c r="F8" s="20">
        <f>SUM(C8:E8)</f>
        <v>7</v>
      </c>
      <c r="G8" s="20">
        <f>COUNTIFS('سجل التحديثات'!$D$5:$D$182,$B8,'سجل التحديثات'!$J$5:$J$182,"ملتزم")</f>
        <v>7</v>
      </c>
      <c r="H8" s="20">
        <f>COUNTIFS('سجل التحديثات'!$D$5:$D$182,$B8,'سجل التحديثات'!$J$5:$J$182,"متأخر")</f>
        <v>0</v>
      </c>
      <c r="I8" s="24">
        <f>IF(F8=0,0,G8/F8)</f>
        <v>1.0</v>
      </c>
    </row>
    <row r="9">
      <c r="A9" s="15" t="n">
        <v>5</v>
      </c>
      <c r="B9" s="16" t="inlineStr">
        <is>
          <t>المملكة المتحدة · United Kingdom</t>
        </is>
      </c>
      <c r="C9" s="15">
        <f>COUNTIFS('سجل التحديثات'!$D$5:$D$182,$B9,'سجل التحديثات'!$B$5:$B$182,"يوليو")</f>
        <v>4</v>
      </c>
      <c r="D9" s="15">
        <f>COUNTIFS('سجل التحديثات'!$D$5:$D$182,$B9,'سجل التحديثات'!$B$5:$B$182,"أغسطس")</f>
        <v>2</v>
      </c>
      <c r="E9" s="15">
        <f>COUNTIFS('سجل التحديثات'!$D$5:$D$182,$B9,'سجل التحديثات'!$B$5:$B$182,"سبتمبر")</f>
        <v>0</v>
      </c>
      <c r="F9" s="15">
        <f>SUM(C9:E9)</f>
        <v>6</v>
      </c>
      <c r="G9" s="15">
        <f>COUNTIFS('سجل التحديثات'!$D$5:$D$182,$B9,'سجل التحديثات'!$J$5:$J$182,"ملتزم")</f>
        <v>6</v>
      </c>
      <c r="H9" s="15">
        <f>COUNTIFS('سجل التحديثات'!$D$5:$D$182,$B9,'سجل التحديثات'!$J$5:$J$182,"متأخر")</f>
        <v>0</v>
      </c>
      <c r="I9" s="23">
        <f>IF(F9=0,0,G9/F9)</f>
        <v>1.0</v>
      </c>
    </row>
    <row r="10">
      <c r="A10" s="20" t="n">
        <v>6</v>
      </c>
      <c r="B10" s="21" t="inlineStr">
        <is>
          <t>بلغاريا · Bulgaria</t>
        </is>
      </c>
      <c r="C10" s="20">
        <f>COUNTIFS('سجل التحديثات'!$D$5:$D$182,$B10,'سجل التحديثات'!$B$5:$B$182,"يوليو")</f>
        <v>3</v>
      </c>
      <c r="D10" s="20">
        <f>COUNTIFS('سجل التحديثات'!$D$5:$D$182,$B10,'سجل التحديثات'!$B$5:$B$182,"أغسطس")</f>
        <v>3</v>
      </c>
      <c r="E10" s="20">
        <f>COUNTIFS('سجل التحديثات'!$D$5:$D$182,$B10,'سجل التحديثات'!$B$5:$B$182,"سبتمبر")</f>
        <v>0</v>
      </c>
      <c r="F10" s="20">
        <f>SUM(C10:E10)</f>
        <v>6</v>
      </c>
      <c r="G10" s="20">
        <f>COUNTIFS('سجل التحديثات'!$D$5:$D$182,$B10,'سجل التحديثات'!$J$5:$J$182,"ملتزم")</f>
        <v>6</v>
      </c>
      <c r="H10" s="20">
        <f>COUNTIFS('سجل التحديثات'!$D$5:$D$182,$B10,'سجل التحديثات'!$J$5:$J$182,"متأخر")</f>
        <v>0</v>
      </c>
      <c r="I10" s="24">
        <f>IF(F10=0,0,G10/F10)</f>
        <v>1.0</v>
      </c>
    </row>
    <row r="11">
      <c r="A11" s="15" t="n">
        <v>7</v>
      </c>
      <c r="B11" s="16" t="inlineStr">
        <is>
          <t>تايلاند · Thailand</t>
        </is>
      </c>
      <c r="C11" s="15">
        <f>COUNTIFS('سجل التحديثات'!$D$5:$D$182,$B11,'سجل التحديثات'!$B$5:$B$182,"يوليو")</f>
        <v>3</v>
      </c>
      <c r="D11" s="15">
        <f>COUNTIFS('سجل التحديثات'!$D$5:$D$182,$B11,'سجل التحديثات'!$B$5:$B$182,"أغسطس")</f>
        <v>1</v>
      </c>
      <c r="E11" s="15">
        <f>COUNTIFS('سجل التحديثات'!$D$5:$D$182,$B11,'سجل التحديثات'!$B$5:$B$182,"سبتمبر")</f>
        <v>2</v>
      </c>
      <c r="F11" s="15">
        <f>SUM(C11:E11)</f>
        <v>6</v>
      </c>
      <c r="G11" s="15">
        <f>COUNTIFS('سجل التحديثات'!$D$5:$D$182,$B11,'سجل التحديثات'!$J$5:$J$182,"ملتزم")</f>
        <v>6</v>
      </c>
      <c r="H11" s="15">
        <f>COUNTIFS('سجل التحديثات'!$D$5:$D$182,$B11,'سجل التحديثات'!$J$5:$J$182,"متأخر")</f>
        <v>0</v>
      </c>
      <c r="I11" s="23">
        <f>IF(F11=0,0,G11/F11)</f>
        <v>1.0</v>
      </c>
    </row>
    <row r="12">
      <c r="A12" s="20" t="n">
        <v>8</v>
      </c>
      <c r="B12" s="21" t="inlineStr">
        <is>
          <t>أيرلندا · Ireland</t>
        </is>
      </c>
      <c r="C12" s="20">
        <f>COUNTIFS('سجل التحديثات'!$D$5:$D$182,$B12,'سجل التحديثات'!$B$5:$B$182,"يوليو")</f>
        <v>0</v>
      </c>
      <c r="D12" s="20">
        <f>COUNTIFS('سجل التحديثات'!$D$5:$D$182,$B12,'سجل التحديثات'!$B$5:$B$182,"أغسطس")</f>
        <v>0</v>
      </c>
      <c r="E12" s="20">
        <f>COUNTIFS('سجل التحديثات'!$D$5:$D$182,$B12,'سجل التحديثات'!$B$5:$B$182,"سبتمبر")</f>
        <v>5</v>
      </c>
      <c r="F12" s="20">
        <f>SUM(C12:E12)</f>
        <v>5</v>
      </c>
      <c r="G12" s="20">
        <f>COUNTIFS('سجل التحديثات'!$D$5:$D$182,$B12,'سجل التحديثات'!$J$5:$J$182,"ملتزم")</f>
        <v>5</v>
      </c>
      <c r="H12" s="20">
        <f>COUNTIFS('سجل التحديثات'!$D$5:$D$182,$B12,'سجل التحديثات'!$J$5:$J$182,"متأخر")</f>
        <v>0</v>
      </c>
      <c r="I12" s="24">
        <f>IF(F12=0,0,G12/F12)</f>
        <v>1.0</v>
      </c>
    </row>
    <row r="13">
      <c r="A13" s="15" t="n">
        <v>9</v>
      </c>
      <c r="B13" s="16" t="inlineStr">
        <is>
          <t>إسبانيا · Spain</t>
        </is>
      </c>
      <c r="C13" s="15">
        <f>COUNTIFS('سجل التحديثات'!$D$5:$D$182,$B13,'سجل التحديثات'!$B$5:$B$182,"يوليو")</f>
        <v>4</v>
      </c>
      <c r="D13" s="15">
        <f>COUNTIFS('سجل التحديثات'!$D$5:$D$182,$B13,'سجل التحديثات'!$B$5:$B$182,"أغسطس")</f>
        <v>1</v>
      </c>
      <c r="E13" s="15">
        <f>COUNTIFS('سجل التحديثات'!$D$5:$D$182,$B13,'سجل التحديثات'!$B$5:$B$182,"سبتمبر")</f>
        <v>0</v>
      </c>
      <c r="F13" s="15">
        <f>SUM(C13:E13)</f>
        <v>5</v>
      </c>
      <c r="G13" s="15">
        <f>COUNTIFS('سجل التحديثات'!$D$5:$D$182,$B13,'سجل التحديثات'!$J$5:$J$182,"ملتزم")</f>
        <v>5</v>
      </c>
      <c r="H13" s="15">
        <f>COUNTIFS('سجل التحديثات'!$D$5:$D$182,$B13,'سجل التحديثات'!$J$5:$J$182,"متأخر")</f>
        <v>0</v>
      </c>
      <c r="I13" s="23">
        <f>IF(F13=0,0,G13/F13)</f>
        <v>1.0</v>
      </c>
    </row>
    <row r="14">
      <c r="A14" s="20" t="n">
        <v>10</v>
      </c>
      <c r="B14" s="21" t="inlineStr">
        <is>
          <t>الكويت · Kuwait</t>
        </is>
      </c>
      <c r="C14" s="20">
        <f>COUNTIFS('سجل التحديثات'!$D$5:$D$182,$B14,'سجل التحديثات'!$B$5:$B$182,"يوليو")</f>
        <v>0</v>
      </c>
      <c r="D14" s="20">
        <f>COUNTIFS('سجل التحديثات'!$D$5:$D$182,$B14,'سجل التحديثات'!$B$5:$B$182,"أغسطس")</f>
        <v>1</v>
      </c>
      <c r="E14" s="20">
        <f>COUNTIFS('سجل التحديثات'!$D$5:$D$182,$B14,'سجل التحديثات'!$B$5:$B$182,"سبتمبر")</f>
        <v>4</v>
      </c>
      <c r="F14" s="20">
        <f>SUM(C14:E14)</f>
        <v>5</v>
      </c>
      <c r="G14" s="20">
        <f>COUNTIFS('سجل التحديثات'!$D$5:$D$182,$B14,'سجل التحديثات'!$J$5:$J$182,"ملتزم")</f>
        <v>5</v>
      </c>
      <c r="H14" s="20">
        <f>COUNTIFS('سجل التحديثات'!$D$5:$D$182,$B14,'سجل التحديثات'!$J$5:$J$182,"متأخر")</f>
        <v>0</v>
      </c>
      <c r="I14" s="24">
        <f>IF(F14=0,0,G14/F14)</f>
        <v>1.0</v>
      </c>
    </row>
    <row r="15">
      <c r="A15" s="15" t="n">
        <v>11</v>
      </c>
      <c r="B15" s="16" t="inlineStr">
        <is>
          <t>بوتسوانا · Botswana</t>
        </is>
      </c>
      <c r="C15" s="15">
        <f>COUNTIFS('سجل التحديثات'!$D$5:$D$182,$B15,'سجل التحديثات'!$B$5:$B$182,"يوليو")</f>
        <v>0</v>
      </c>
      <c r="D15" s="15">
        <f>COUNTIFS('سجل التحديثات'!$D$5:$D$182,$B15,'سجل التحديثات'!$B$5:$B$182,"أغسطس")</f>
        <v>0</v>
      </c>
      <c r="E15" s="15">
        <f>COUNTIFS('سجل التحديثات'!$D$5:$D$182,$B15,'سجل التحديثات'!$B$5:$B$182,"سبتمبر")</f>
        <v>5</v>
      </c>
      <c r="F15" s="15">
        <f>SUM(C15:E15)</f>
        <v>5</v>
      </c>
      <c r="G15" s="15">
        <f>COUNTIFS('سجل التحديثات'!$D$5:$D$182,$B15,'سجل التحديثات'!$J$5:$J$182,"ملتزم")</f>
        <v>5</v>
      </c>
      <c r="H15" s="15">
        <f>COUNTIFS('سجل التحديثات'!$D$5:$D$182,$B15,'سجل التحديثات'!$J$5:$J$182,"متأخر")</f>
        <v>0</v>
      </c>
      <c r="I15" s="23">
        <f>IF(F15=0,0,G15/F15)</f>
        <v>1.0</v>
      </c>
    </row>
    <row r="16">
      <c r="A16" s="20" t="n">
        <v>12</v>
      </c>
      <c r="B16" s="21" t="inlineStr">
        <is>
          <t>رومانيا · Romania</t>
        </is>
      </c>
      <c r="C16" s="20">
        <f>COUNTIFS('سجل التحديثات'!$D$5:$D$182,$B16,'سجل التحديثات'!$B$5:$B$182,"يوليو")</f>
        <v>5</v>
      </c>
      <c r="D16" s="20">
        <f>COUNTIFS('سجل التحديثات'!$D$5:$D$182,$B16,'سجل التحديثات'!$B$5:$B$182,"أغسطس")</f>
        <v>0</v>
      </c>
      <c r="E16" s="20">
        <f>COUNTIFS('سجل التحديثات'!$D$5:$D$182,$B16,'سجل التحديثات'!$B$5:$B$182,"سبتمبر")</f>
        <v>0</v>
      </c>
      <c r="F16" s="20">
        <f>SUM(C16:E16)</f>
        <v>5</v>
      </c>
      <c r="G16" s="20">
        <f>COUNTIFS('سجل التحديثات'!$D$5:$D$182,$B16,'سجل التحديثات'!$J$5:$J$182,"ملتزم")</f>
        <v>5</v>
      </c>
      <c r="H16" s="20">
        <f>COUNTIFS('سجل التحديثات'!$D$5:$D$182,$B16,'سجل التحديثات'!$J$5:$J$182,"متأخر")</f>
        <v>0</v>
      </c>
      <c r="I16" s="24">
        <f>IF(F16=0,0,G16/F16)</f>
        <v>1.0</v>
      </c>
    </row>
    <row r="17">
      <c r="A17" s="15" t="n">
        <v>13</v>
      </c>
      <c r="B17" s="16" t="inlineStr">
        <is>
          <t>ساحل العاج · Côte d'Ivoire</t>
        </is>
      </c>
      <c r="C17" s="15">
        <f>COUNTIFS('سجل التحديثات'!$D$5:$D$182,$B17,'سجل التحديثات'!$B$5:$B$182,"يوليو")</f>
        <v>5</v>
      </c>
      <c r="D17" s="15">
        <f>COUNTIFS('سجل التحديثات'!$D$5:$D$182,$B17,'سجل التحديثات'!$B$5:$B$182,"أغسطس")</f>
        <v>0</v>
      </c>
      <c r="E17" s="15">
        <f>COUNTIFS('سجل التحديثات'!$D$5:$D$182,$B17,'سجل التحديثات'!$B$5:$B$182,"سبتمبر")</f>
        <v>0</v>
      </c>
      <c r="F17" s="15">
        <f>SUM(C17:E17)</f>
        <v>5</v>
      </c>
      <c r="G17" s="15">
        <f>COUNTIFS('سجل التحديثات'!$D$5:$D$182,$B17,'سجل التحديثات'!$J$5:$J$182,"ملتزم")</f>
        <v>5</v>
      </c>
      <c r="H17" s="15">
        <f>COUNTIFS('سجل التحديثات'!$D$5:$D$182,$B17,'سجل التحديثات'!$J$5:$J$182,"متأخر")</f>
        <v>0</v>
      </c>
      <c r="I17" s="23">
        <f>IF(F17=0,0,G17/F17)</f>
        <v>1.0</v>
      </c>
    </row>
    <row r="18">
      <c r="A18" s="20" t="n">
        <v>14</v>
      </c>
      <c r="B18" s="21" t="inlineStr">
        <is>
          <t>صربيا · Serbia</t>
        </is>
      </c>
      <c r="C18" s="20">
        <f>COUNTIFS('سجل التحديثات'!$D$5:$D$182,$B18,'سجل التحديثات'!$B$5:$B$182,"يوليو")</f>
        <v>0</v>
      </c>
      <c r="D18" s="20">
        <f>COUNTIFS('سجل التحديثات'!$D$5:$D$182,$B18,'سجل التحديثات'!$B$5:$B$182,"أغسطس")</f>
        <v>5</v>
      </c>
      <c r="E18" s="20">
        <f>COUNTIFS('سجل التحديثات'!$D$5:$D$182,$B18,'سجل التحديثات'!$B$5:$B$182,"سبتمبر")</f>
        <v>0</v>
      </c>
      <c r="F18" s="20">
        <f>SUM(C18:E18)</f>
        <v>5</v>
      </c>
      <c r="G18" s="20">
        <f>COUNTIFS('سجل التحديثات'!$D$5:$D$182,$B18,'سجل التحديثات'!$J$5:$J$182,"ملتزم")</f>
        <v>5</v>
      </c>
      <c r="H18" s="20">
        <f>COUNTIFS('سجل التحديثات'!$D$5:$D$182,$B18,'سجل التحديثات'!$J$5:$J$182,"متأخر")</f>
        <v>0</v>
      </c>
      <c r="I18" s="24">
        <f>IF(F18=0,0,G18/F18)</f>
        <v>1.0</v>
      </c>
    </row>
    <row r="19">
      <c r="A19" s="15" t="n">
        <v>15</v>
      </c>
      <c r="B19" s="16" t="inlineStr">
        <is>
          <t>ليسوتو · Lesotho</t>
        </is>
      </c>
      <c r="C19" s="15">
        <f>COUNTIFS('سجل التحديثات'!$D$5:$D$182,$B19,'سجل التحديثات'!$B$5:$B$182,"يوليو")</f>
        <v>0</v>
      </c>
      <c r="D19" s="15">
        <f>COUNTIFS('سجل التحديثات'!$D$5:$D$182,$B19,'سجل التحديثات'!$B$5:$B$182,"أغسطس")</f>
        <v>0</v>
      </c>
      <c r="E19" s="15">
        <f>COUNTIFS('سجل التحديثات'!$D$5:$D$182,$B19,'سجل التحديثات'!$B$5:$B$182,"سبتمبر")</f>
        <v>5</v>
      </c>
      <c r="F19" s="15">
        <f>SUM(C19:E19)</f>
        <v>5</v>
      </c>
      <c r="G19" s="15">
        <f>COUNTIFS('سجل التحديثات'!$D$5:$D$182,$B19,'سجل التحديثات'!$J$5:$J$182,"ملتزم")</f>
        <v>5</v>
      </c>
      <c r="H19" s="15">
        <f>COUNTIFS('سجل التحديثات'!$D$5:$D$182,$B19,'سجل التحديثات'!$J$5:$J$182,"متأخر")</f>
        <v>0</v>
      </c>
      <c r="I19" s="23">
        <f>IF(F19=0,0,G19/F19)</f>
        <v>1.0</v>
      </c>
    </row>
    <row r="20">
      <c r="A20" s="20" t="n">
        <v>16</v>
      </c>
      <c r="B20" s="21" t="inlineStr">
        <is>
          <t>أذربيجان · Azerbaijan</t>
        </is>
      </c>
      <c r="C20" s="20">
        <f>COUNTIFS('سجل التحديثات'!$D$5:$D$182,$B20,'سجل التحديثات'!$B$5:$B$182,"يوليو")</f>
        <v>0</v>
      </c>
      <c r="D20" s="20">
        <f>COUNTIFS('سجل التحديثات'!$D$5:$D$182,$B20,'سجل التحديثات'!$B$5:$B$182,"أغسطس")</f>
        <v>0</v>
      </c>
      <c r="E20" s="20">
        <f>COUNTIFS('سجل التحديثات'!$D$5:$D$182,$B20,'سجل التحديثات'!$B$5:$B$182,"سبتمبر")</f>
        <v>4</v>
      </c>
      <c r="F20" s="20">
        <f>SUM(C20:E20)</f>
        <v>4</v>
      </c>
      <c r="G20" s="20">
        <f>COUNTIFS('سجل التحديثات'!$D$5:$D$182,$B20,'سجل التحديثات'!$J$5:$J$182,"ملتزم")</f>
        <v>4</v>
      </c>
      <c r="H20" s="20">
        <f>COUNTIFS('سجل التحديثات'!$D$5:$D$182,$B20,'سجل التحديثات'!$J$5:$J$182,"متأخر")</f>
        <v>0</v>
      </c>
      <c r="I20" s="24">
        <f>IF(F20=0,0,G20/F20)</f>
        <v>1.0</v>
      </c>
    </row>
    <row r="21">
      <c r="A21" s="15" t="n">
        <v>17</v>
      </c>
      <c r="B21" s="16" t="inlineStr">
        <is>
          <t>إندونيسيا · Indonesia</t>
        </is>
      </c>
      <c r="C21" s="15">
        <f>COUNTIFS('سجل التحديثات'!$D$5:$D$182,$B21,'سجل التحديثات'!$B$5:$B$182,"يوليو")</f>
        <v>0</v>
      </c>
      <c r="D21" s="15">
        <f>COUNTIFS('سجل التحديثات'!$D$5:$D$182,$B21,'سجل التحديثات'!$B$5:$B$182,"أغسطس")</f>
        <v>1</v>
      </c>
      <c r="E21" s="15">
        <f>COUNTIFS('سجل التحديثات'!$D$5:$D$182,$B21,'سجل التحديثات'!$B$5:$B$182,"سبتمبر")</f>
        <v>3</v>
      </c>
      <c r="F21" s="15">
        <f>SUM(C21:E21)</f>
        <v>4</v>
      </c>
      <c r="G21" s="15">
        <f>COUNTIFS('سجل التحديثات'!$D$5:$D$182,$B21,'سجل التحديثات'!$J$5:$J$182,"ملتزم")</f>
        <v>4</v>
      </c>
      <c r="H21" s="15">
        <f>COUNTIFS('سجل التحديثات'!$D$5:$D$182,$B21,'سجل التحديثات'!$J$5:$J$182,"متأخر")</f>
        <v>0</v>
      </c>
      <c r="I21" s="23">
        <f>IF(F21=0,0,G21/F21)</f>
        <v>1.0</v>
      </c>
    </row>
    <row r="22">
      <c r="A22" s="20" t="n">
        <v>18</v>
      </c>
      <c r="B22" s="21" t="inlineStr">
        <is>
          <t>بنما · Panama</t>
        </is>
      </c>
      <c r="C22" s="20">
        <f>COUNTIFS('سجل التحديثات'!$D$5:$D$182,$B22,'سجل التحديثات'!$B$5:$B$182,"يوليو")</f>
        <v>0</v>
      </c>
      <c r="D22" s="20">
        <f>COUNTIFS('سجل التحديثات'!$D$5:$D$182,$B22,'سجل التحديثات'!$B$5:$B$182,"أغسطس")</f>
        <v>0</v>
      </c>
      <c r="E22" s="20">
        <f>COUNTIFS('سجل التحديثات'!$D$5:$D$182,$B22,'سجل التحديثات'!$B$5:$B$182,"سبتمبر")</f>
        <v>4</v>
      </c>
      <c r="F22" s="20">
        <f>SUM(C22:E22)</f>
        <v>4</v>
      </c>
      <c r="G22" s="20">
        <f>COUNTIFS('سجل التحديثات'!$D$5:$D$182,$B22,'سجل التحديثات'!$J$5:$J$182,"ملتزم")</f>
        <v>4</v>
      </c>
      <c r="H22" s="20">
        <f>COUNTIFS('سجل التحديثات'!$D$5:$D$182,$B22,'سجل التحديثات'!$J$5:$J$182,"متأخر")</f>
        <v>0</v>
      </c>
      <c r="I22" s="24">
        <f>IF(F22=0,0,G22/F22)</f>
        <v>1.0</v>
      </c>
    </row>
    <row r="23">
      <c r="A23" s="15" t="n">
        <v>19</v>
      </c>
      <c r="B23" s="16" t="inlineStr">
        <is>
          <t>بولندا · Poland</t>
        </is>
      </c>
      <c r="C23" s="15">
        <f>COUNTIFS('سجل التحديثات'!$D$5:$D$182,$B23,'سجل التحديثات'!$B$5:$B$182,"يوليو")</f>
        <v>1</v>
      </c>
      <c r="D23" s="15">
        <f>COUNTIFS('سجل التحديثات'!$D$5:$D$182,$B23,'سجل التحديثات'!$B$5:$B$182,"أغسطس")</f>
        <v>3</v>
      </c>
      <c r="E23" s="15">
        <f>COUNTIFS('سجل التحديثات'!$D$5:$D$182,$B23,'سجل التحديثات'!$B$5:$B$182,"سبتمبر")</f>
        <v>0</v>
      </c>
      <c r="F23" s="15">
        <f>SUM(C23:E23)</f>
        <v>4</v>
      </c>
      <c r="G23" s="15">
        <f>COUNTIFS('سجل التحديثات'!$D$5:$D$182,$B23,'سجل التحديثات'!$J$5:$J$182,"ملتزم")</f>
        <v>4</v>
      </c>
      <c r="H23" s="15">
        <f>COUNTIFS('سجل التحديثات'!$D$5:$D$182,$B23,'سجل التحديثات'!$J$5:$J$182,"متأخر")</f>
        <v>0</v>
      </c>
      <c r="I23" s="23">
        <f>IF(F23=0,0,G23/F23)</f>
        <v>1.0</v>
      </c>
    </row>
    <row r="24">
      <c r="A24" s="20" t="n">
        <v>20</v>
      </c>
      <c r="B24" s="21" t="inlineStr">
        <is>
          <t>بيلاروس · Belarus</t>
        </is>
      </c>
      <c r="C24" s="20">
        <f>COUNTIFS('سجل التحديثات'!$D$5:$D$182,$B24,'سجل التحديثات'!$B$5:$B$182,"يوليو")</f>
        <v>0</v>
      </c>
      <c r="D24" s="20">
        <f>COUNTIFS('سجل التحديثات'!$D$5:$D$182,$B24,'سجل التحديثات'!$B$5:$B$182,"أغسطس")</f>
        <v>0</v>
      </c>
      <c r="E24" s="20">
        <f>COUNTIFS('سجل التحديثات'!$D$5:$D$182,$B24,'سجل التحديثات'!$B$5:$B$182,"سبتمبر")</f>
        <v>4</v>
      </c>
      <c r="F24" s="20">
        <f>SUM(C24:E24)</f>
        <v>4</v>
      </c>
      <c r="G24" s="20">
        <f>COUNTIFS('سجل التحديثات'!$D$5:$D$182,$B24,'سجل التحديثات'!$J$5:$J$182,"ملتزم")</f>
        <v>4</v>
      </c>
      <c r="H24" s="20">
        <f>COUNTIFS('سجل التحديثات'!$D$5:$D$182,$B24,'سجل التحديثات'!$J$5:$J$182,"متأخر")</f>
        <v>0</v>
      </c>
      <c r="I24" s="24">
        <f>IF(F24=0,0,G24/F24)</f>
        <v>1.0</v>
      </c>
    </row>
    <row r="25">
      <c r="A25" s="15" t="n">
        <v>21</v>
      </c>
      <c r="B25" s="16" t="inlineStr">
        <is>
          <t>سوريا · Syria</t>
        </is>
      </c>
      <c r="C25" s="15">
        <f>COUNTIFS('سجل التحديثات'!$D$5:$D$182,$B25,'سجل التحديثات'!$B$5:$B$182,"يوليو")</f>
        <v>4</v>
      </c>
      <c r="D25" s="15">
        <f>COUNTIFS('سجل التحديثات'!$D$5:$D$182,$B25,'سجل التحديثات'!$B$5:$B$182,"أغسطس")</f>
        <v>0</v>
      </c>
      <c r="E25" s="15">
        <f>COUNTIFS('سجل التحديثات'!$D$5:$D$182,$B25,'سجل التحديثات'!$B$5:$B$182,"سبتمبر")</f>
        <v>0</v>
      </c>
      <c r="F25" s="15">
        <f>SUM(C25:E25)</f>
        <v>4</v>
      </c>
      <c r="G25" s="15">
        <f>COUNTIFS('سجل التحديثات'!$D$5:$D$182,$B25,'سجل التحديثات'!$J$5:$J$182,"ملتزم")</f>
        <v>4</v>
      </c>
      <c r="H25" s="15">
        <f>COUNTIFS('سجل التحديثات'!$D$5:$D$182,$B25,'سجل التحديثات'!$J$5:$J$182,"متأخر")</f>
        <v>0</v>
      </c>
      <c r="I25" s="23">
        <f>IF(F25=0,0,G25/F25)</f>
        <v>1.0</v>
      </c>
    </row>
    <row r="26">
      <c r="A26" s="20" t="n">
        <v>22</v>
      </c>
      <c r="B26" s="21" t="inlineStr">
        <is>
          <t>غانا · Ghana</t>
        </is>
      </c>
      <c r="C26" s="20">
        <f>COUNTIFS('سجل التحديثات'!$D$5:$D$182,$B26,'سجل التحديثات'!$B$5:$B$182,"يوليو")</f>
        <v>0</v>
      </c>
      <c r="D26" s="20">
        <f>COUNTIFS('سجل التحديثات'!$D$5:$D$182,$B26,'سجل التحديثات'!$B$5:$B$182,"أغسطس")</f>
        <v>0</v>
      </c>
      <c r="E26" s="20">
        <f>COUNTIFS('سجل التحديثات'!$D$5:$D$182,$B26,'سجل التحديثات'!$B$5:$B$182,"سبتمبر")</f>
        <v>4</v>
      </c>
      <c r="F26" s="20">
        <f>SUM(C26:E26)</f>
        <v>4</v>
      </c>
      <c r="G26" s="20">
        <f>COUNTIFS('سجل التحديثات'!$D$5:$D$182,$B26,'سجل التحديثات'!$J$5:$J$182,"ملتزم")</f>
        <v>4</v>
      </c>
      <c r="H26" s="20">
        <f>COUNTIFS('سجل التحديثات'!$D$5:$D$182,$B26,'سجل التحديثات'!$J$5:$J$182,"متأخر")</f>
        <v>0</v>
      </c>
      <c r="I26" s="24">
        <f>IF(F26=0,0,G26/F26)</f>
        <v>1.0</v>
      </c>
    </row>
    <row r="27">
      <c r="A27" s="15" t="n">
        <v>23</v>
      </c>
      <c r="B27" s="16" t="inlineStr">
        <is>
          <t>كولومبيا · Colombia</t>
        </is>
      </c>
      <c r="C27" s="15">
        <f>COUNTIFS('سجل التحديثات'!$D$5:$D$182,$B27,'سجل التحديثات'!$B$5:$B$182,"يوليو")</f>
        <v>0</v>
      </c>
      <c r="D27" s="15">
        <f>COUNTIFS('سجل التحديثات'!$D$5:$D$182,$B27,'سجل التحديثات'!$B$5:$B$182,"أغسطس")</f>
        <v>2</v>
      </c>
      <c r="E27" s="15">
        <f>COUNTIFS('سجل التحديثات'!$D$5:$D$182,$B27,'سجل التحديثات'!$B$5:$B$182,"سبتمبر")</f>
        <v>2</v>
      </c>
      <c r="F27" s="15">
        <f>SUM(C27:E27)</f>
        <v>4</v>
      </c>
      <c r="G27" s="15">
        <f>COUNTIFS('سجل التحديثات'!$D$5:$D$182,$B27,'سجل التحديثات'!$J$5:$J$182,"ملتزم")</f>
        <v>4</v>
      </c>
      <c r="H27" s="15">
        <f>COUNTIFS('سجل التحديثات'!$D$5:$D$182,$B27,'سجل التحديثات'!$J$5:$J$182,"متأخر")</f>
        <v>0</v>
      </c>
      <c r="I27" s="23">
        <f>IF(F27=0,0,G27/F27)</f>
        <v>1.0</v>
      </c>
    </row>
    <row r="28">
      <c r="A28" s="20" t="n">
        <v>24</v>
      </c>
      <c r="B28" s="21" t="inlineStr">
        <is>
          <t>ماليزيا · Malaysia</t>
        </is>
      </c>
      <c r="C28" s="20">
        <f>COUNTIFS('سجل التحديثات'!$D$5:$D$182,$B28,'سجل التحديثات'!$B$5:$B$182,"يوليو")</f>
        <v>0</v>
      </c>
      <c r="D28" s="20">
        <f>COUNTIFS('سجل التحديثات'!$D$5:$D$182,$B28,'سجل التحديثات'!$B$5:$B$182,"أغسطس")</f>
        <v>1</v>
      </c>
      <c r="E28" s="20">
        <f>COUNTIFS('سجل التحديثات'!$D$5:$D$182,$B28,'سجل التحديثات'!$B$5:$B$182,"سبتمبر")</f>
        <v>3</v>
      </c>
      <c r="F28" s="20">
        <f>SUM(C28:E28)</f>
        <v>4</v>
      </c>
      <c r="G28" s="20">
        <f>COUNTIFS('سجل التحديثات'!$D$5:$D$182,$B28,'سجل التحديثات'!$J$5:$J$182,"ملتزم")</f>
        <v>4</v>
      </c>
      <c r="H28" s="20">
        <f>COUNTIFS('سجل التحديثات'!$D$5:$D$182,$B28,'سجل التحديثات'!$J$5:$J$182,"متأخر")</f>
        <v>0</v>
      </c>
      <c r="I28" s="24">
        <f>IF(F28=0,0,G28/F28)</f>
        <v>1.0</v>
      </c>
    </row>
    <row r="29">
      <c r="A29" s="15" t="n">
        <v>25</v>
      </c>
      <c r="B29" s="16" t="inlineStr">
        <is>
          <t>نيوزيلندا · New Zealand</t>
        </is>
      </c>
      <c r="C29" s="15">
        <f>COUNTIFS('سجل التحديثات'!$D$5:$D$182,$B29,'سجل التحديثات'!$B$5:$B$182,"يوليو")</f>
        <v>4</v>
      </c>
      <c r="D29" s="15">
        <f>COUNTIFS('سجل التحديثات'!$D$5:$D$182,$B29,'سجل التحديثات'!$B$5:$B$182,"أغسطس")</f>
        <v>0</v>
      </c>
      <c r="E29" s="15">
        <f>COUNTIFS('سجل التحديثات'!$D$5:$D$182,$B29,'سجل التحديثات'!$B$5:$B$182,"سبتمبر")</f>
        <v>0</v>
      </c>
      <c r="F29" s="15">
        <f>SUM(C29:E29)</f>
        <v>4</v>
      </c>
      <c r="G29" s="15">
        <f>COUNTIFS('سجل التحديثات'!$D$5:$D$182,$B29,'سجل التحديثات'!$J$5:$J$182,"ملتزم")</f>
        <v>4</v>
      </c>
      <c r="H29" s="15">
        <f>COUNTIFS('سجل التحديثات'!$D$5:$D$182,$B29,'سجل التحديثات'!$J$5:$J$182,"متأخر")</f>
        <v>0</v>
      </c>
      <c r="I29" s="23">
        <f>IF(F29=0,0,G29/F29)</f>
        <v>1.0</v>
      </c>
    </row>
    <row r="30">
      <c r="A30" s="20" t="n">
        <v>26</v>
      </c>
      <c r="B30" s="21" t="inlineStr">
        <is>
          <t>السعودية · Saudi Arabia</t>
        </is>
      </c>
      <c r="C30" s="20">
        <f>COUNTIFS('سجل التحديثات'!$D$5:$D$182,$B30,'سجل التحديثات'!$B$5:$B$182,"يوليو")</f>
        <v>3</v>
      </c>
      <c r="D30" s="20">
        <f>COUNTIFS('سجل التحديثات'!$D$5:$D$182,$B30,'سجل التحديثات'!$B$5:$B$182,"أغسطس")</f>
        <v>0</v>
      </c>
      <c r="E30" s="20">
        <f>COUNTIFS('سجل التحديثات'!$D$5:$D$182,$B30,'سجل التحديثات'!$B$5:$B$182,"سبتمبر")</f>
        <v>0</v>
      </c>
      <c r="F30" s="20">
        <f>SUM(C30:E30)</f>
        <v>3</v>
      </c>
      <c r="G30" s="20">
        <f>COUNTIFS('سجل التحديثات'!$D$5:$D$182,$B30,'سجل التحديثات'!$J$5:$J$182,"ملتزم")</f>
        <v>3</v>
      </c>
      <c r="H30" s="20">
        <f>COUNTIFS('سجل التحديثات'!$D$5:$D$182,$B30,'سجل التحديثات'!$J$5:$J$182,"متأخر")</f>
        <v>0</v>
      </c>
      <c r="I30" s="24">
        <f>IF(F30=0,0,G30/F30)</f>
        <v>1.0</v>
      </c>
    </row>
    <row r="31">
      <c r="A31" s="15" t="n">
        <v>27</v>
      </c>
      <c r="B31" s="16" t="inlineStr">
        <is>
          <t>المكسيك · Mexico</t>
        </is>
      </c>
      <c r="C31" s="15">
        <f>COUNTIFS('سجل التحديثات'!$D$5:$D$182,$B31,'سجل التحديثات'!$B$5:$B$182,"يوليو")</f>
        <v>2</v>
      </c>
      <c r="D31" s="15">
        <f>COUNTIFS('سجل التحديثات'!$D$5:$D$182,$B31,'سجل التحديثات'!$B$5:$B$182,"أغسطس")</f>
        <v>0</v>
      </c>
      <c r="E31" s="15">
        <f>COUNTIFS('سجل التحديثات'!$D$5:$D$182,$B31,'سجل التحديثات'!$B$5:$B$182,"سبتمبر")</f>
        <v>1</v>
      </c>
      <c r="F31" s="15">
        <f>SUM(C31:E31)</f>
        <v>3</v>
      </c>
      <c r="G31" s="15">
        <f>COUNTIFS('سجل التحديثات'!$D$5:$D$182,$B31,'سجل التحديثات'!$J$5:$J$182,"ملتزم")</f>
        <v>3</v>
      </c>
      <c r="H31" s="15">
        <f>COUNTIFS('سجل التحديثات'!$D$5:$D$182,$B31,'سجل التحديثات'!$J$5:$J$182,"متأخر")</f>
        <v>0</v>
      </c>
      <c r="I31" s="23">
        <f>IF(F31=0,0,G31/F31)</f>
        <v>1.0</v>
      </c>
    </row>
    <row r="32">
      <c r="A32" s="20" t="n">
        <v>28</v>
      </c>
      <c r="B32" s="21" t="inlineStr">
        <is>
          <t>الهند · India</t>
        </is>
      </c>
      <c r="C32" s="20">
        <f>COUNTIFS('سجل التحديثات'!$D$5:$D$182,$B32,'سجل التحديثات'!$B$5:$B$182,"يوليو")</f>
        <v>1</v>
      </c>
      <c r="D32" s="20">
        <f>COUNTIFS('سجل التحديثات'!$D$5:$D$182,$B32,'سجل التحديثات'!$B$5:$B$182,"أغسطس")</f>
        <v>2</v>
      </c>
      <c r="E32" s="20">
        <f>COUNTIFS('سجل التحديثات'!$D$5:$D$182,$B32,'سجل التحديثات'!$B$5:$B$182,"سبتمبر")</f>
        <v>0</v>
      </c>
      <c r="F32" s="20">
        <f>SUM(C32:E32)</f>
        <v>3</v>
      </c>
      <c r="G32" s="20">
        <f>COUNTIFS('سجل التحديثات'!$D$5:$D$182,$B32,'سجل التحديثات'!$J$5:$J$182,"ملتزم")</f>
        <v>3</v>
      </c>
      <c r="H32" s="20">
        <f>COUNTIFS('سجل التحديثات'!$D$5:$D$182,$B32,'سجل التحديثات'!$J$5:$J$182,"متأخر")</f>
        <v>0</v>
      </c>
      <c r="I32" s="24">
        <f>IF(F32=0,0,G32/F32)</f>
        <v>1.0</v>
      </c>
    </row>
    <row r="33">
      <c r="A33" s="15" t="n">
        <v>29</v>
      </c>
      <c r="B33" s="16" t="inlineStr">
        <is>
          <t>سريلانكا · Sri Lanka</t>
        </is>
      </c>
      <c r="C33" s="15">
        <f>COUNTIFS('سجل التحديثات'!$D$5:$D$182,$B33,'سجل التحديثات'!$B$5:$B$182,"يوليو")</f>
        <v>0</v>
      </c>
      <c r="D33" s="15">
        <f>COUNTIFS('سجل التحديثات'!$D$5:$D$182,$B33,'سجل التحديثات'!$B$5:$B$182,"أغسطس")</f>
        <v>3</v>
      </c>
      <c r="E33" s="15">
        <f>COUNTIFS('سجل التحديثات'!$D$5:$D$182,$B33,'سجل التحديثات'!$B$5:$B$182,"سبتمبر")</f>
        <v>0</v>
      </c>
      <c r="F33" s="15">
        <f>SUM(C33:E33)</f>
        <v>3</v>
      </c>
      <c r="G33" s="15">
        <f>COUNTIFS('سجل التحديثات'!$D$5:$D$182,$B33,'سجل التحديثات'!$J$5:$J$182,"ملتزم")</f>
        <v>3</v>
      </c>
      <c r="H33" s="15">
        <f>COUNTIFS('سجل التحديثات'!$D$5:$D$182,$B33,'سجل التحديثات'!$J$5:$J$182,"متأخر")</f>
        <v>0</v>
      </c>
      <c r="I33" s="23">
        <f>IF(F33=0,0,G33/F33)</f>
        <v>1.0</v>
      </c>
    </row>
    <row r="34">
      <c r="A34" s="20" t="n">
        <v>30</v>
      </c>
      <c r="B34" s="21" t="inlineStr">
        <is>
          <t>قيرغيزستان · Kyrgyzstan</t>
        </is>
      </c>
      <c r="C34" s="20">
        <f>COUNTIFS('سجل التحديثات'!$D$5:$D$182,$B34,'سجل التحديثات'!$B$5:$B$182,"يوليو")</f>
        <v>3</v>
      </c>
      <c r="D34" s="20">
        <f>COUNTIFS('سجل التحديثات'!$D$5:$D$182,$B34,'سجل التحديثات'!$B$5:$B$182,"أغسطس")</f>
        <v>0</v>
      </c>
      <c r="E34" s="20">
        <f>COUNTIFS('سجل التحديثات'!$D$5:$D$182,$B34,'سجل التحديثات'!$B$5:$B$182,"سبتمبر")</f>
        <v>0</v>
      </c>
      <c r="F34" s="20">
        <f>SUM(C34:E34)</f>
        <v>3</v>
      </c>
      <c r="G34" s="20">
        <f>COUNTIFS('سجل التحديثات'!$D$5:$D$182,$B34,'سجل التحديثات'!$J$5:$J$182,"ملتزم")</f>
        <v>3</v>
      </c>
      <c r="H34" s="20">
        <f>COUNTIFS('سجل التحديثات'!$D$5:$D$182,$B34,'سجل التحديثات'!$J$5:$J$182,"متأخر")</f>
        <v>0</v>
      </c>
      <c r="I34" s="24">
        <f>IF(F34=0,0,G34/F34)</f>
        <v>1.0</v>
      </c>
    </row>
    <row r="35">
      <c r="A35" s="15" t="n">
        <v>31</v>
      </c>
      <c r="B35" s="16" t="inlineStr">
        <is>
          <t>أستراليا · Australia</t>
        </is>
      </c>
      <c r="C35" s="15">
        <f>COUNTIFS('سجل التحديثات'!$D$5:$D$182,$B35,'سجل التحديثات'!$B$5:$B$182,"يوليو")</f>
        <v>2</v>
      </c>
      <c r="D35" s="15">
        <f>COUNTIFS('سجل التحديثات'!$D$5:$D$182,$B35,'سجل التحديثات'!$B$5:$B$182,"أغسطس")</f>
        <v>0</v>
      </c>
      <c r="E35" s="15">
        <f>COUNTIFS('سجل التحديثات'!$D$5:$D$182,$B35,'سجل التحديثات'!$B$5:$B$182,"سبتمبر")</f>
        <v>0</v>
      </c>
      <c r="F35" s="15">
        <f>SUM(C35:E35)</f>
        <v>2</v>
      </c>
      <c r="G35" s="15">
        <f>COUNTIFS('سجل التحديثات'!$D$5:$D$182,$B35,'سجل التحديثات'!$J$5:$J$182,"ملتزم")</f>
        <v>2</v>
      </c>
      <c r="H35" s="15">
        <f>COUNTIFS('سجل التحديثات'!$D$5:$D$182,$B35,'سجل التحديثات'!$J$5:$J$182,"متأخر")</f>
        <v>0</v>
      </c>
      <c r="I35" s="23">
        <f>IF(F35=0,0,G35/F35)</f>
        <v>1.0</v>
      </c>
    </row>
    <row r="36">
      <c r="A36" s="20" t="n">
        <v>32</v>
      </c>
      <c r="B36" s="21" t="inlineStr">
        <is>
          <t>باكستان · Pakistan</t>
        </is>
      </c>
      <c r="C36" s="20">
        <f>COUNTIFS('سجل التحديثات'!$D$5:$D$182,$B36,'سجل التحديثات'!$B$5:$B$182,"يوليو")</f>
        <v>2</v>
      </c>
      <c r="D36" s="20">
        <f>COUNTIFS('سجل التحديثات'!$D$5:$D$182,$B36,'سجل التحديثات'!$B$5:$B$182,"أغسطس")</f>
        <v>0</v>
      </c>
      <c r="E36" s="20">
        <f>COUNTIFS('سجل التحديثات'!$D$5:$D$182,$B36,'سجل التحديثات'!$B$5:$B$182,"سبتمبر")</f>
        <v>0</v>
      </c>
      <c r="F36" s="20">
        <f>SUM(C36:E36)</f>
        <v>2</v>
      </c>
      <c r="G36" s="20">
        <f>COUNTIFS('سجل التحديثات'!$D$5:$D$182,$B36,'سجل التحديثات'!$J$5:$J$182,"ملتزم")</f>
        <v>2</v>
      </c>
      <c r="H36" s="20">
        <f>COUNTIFS('سجل التحديثات'!$D$5:$D$182,$B36,'سجل التحديثات'!$J$5:$J$182,"متأخر")</f>
        <v>0</v>
      </c>
      <c r="I36" s="24">
        <f>IF(F36=0,0,G36/F36)</f>
        <v>1.0</v>
      </c>
    </row>
    <row r="37">
      <c r="A37" s="15" t="n">
        <v>33</v>
      </c>
      <c r="B37" s="16" t="inlineStr">
        <is>
          <t>تنزانيا · Tanzania</t>
        </is>
      </c>
      <c r="C37" s="15">
        <f>COUNTIFS('سجل التحديثات'!$D$5:$D$182,$B37,'سجل التحديثات'!$B$5:$B$182,"يوليو")</f>
        <v>0</v>
      </c>
      <c r="D37" s="15">
        <f>COUNTIFS('سجل التحديثات'!$D$5:$D$182,$B37,'سجل التحديثات'!$B$5:$B$182,"أغسطس")</f>
        <v>0</v>
      </c>
      <c r="E37" s="15">
        <f>COUNTIFS('سجل التحديثات'!$D$5:$D$182,$B37,'سجل التحديثات'!$B$5:$B$182,"سبتمبر")</f>
        <v>2</v>
      </c>
      <c r="F37" s="15">
        <f>SUM(C37:E37)</f>
        <v>2</v>
      </c>
      <c r="G37" s="15">
        <f>COUNTIFS('سجل التحديثات'!$D$5:$D$182,$B37,'سجل التحديثات'!$J$5:$J$182,"ملتزم")</f>
        <v>2</v>
      </c>
      <c r="H37" s="15">
        <f>COUNTIFS('سجل التحديثات'!$D$5:$D$182,$B37,'سجل التحديثات'!$J$5:$J$182,"متأخر")</f>
        <v>0</v>
      </c>
      <c r="I37" s="23">
        <f>IF(F37=0,0,G37/F37)</f>
        <v>1.0</v>
      </c>
    </row>
    <row r="38">
      <c r="A38" s="20" t="n">
        <v>34</v>
      </c>
      <c r="B38" s="21" t="inlineStr">
        <is>
          <t>جزر القمر · Comoros</t>
        </is>
      </c>
      <c r="C38" s="20">
        <f>COUNTIFS('سجل التحديثات'!$D$5:$D$182,$B38,'سجل التحديثات'!$B$5:$B$182,"يوليو")</f>
        <v>2</v>
      </c>
      <c r="D38" s="20">
        <f>COUNTIFS('سجل التحديثات'!$D$5:$D$182,$B38,'سجل التحديثات'!$B$5:$B$182,"أغسطس")</f>
        <v>0</v>
      </c>
      <c r="E38" s="20">
        <f>COUNTIFS('سجل التحديثات'!$D$5:$D$182,$B38,'سجل التحديثات'!$B$5:$B$182,"سبتمبر")</f>
        <v>0</v>
      </c>
      <c r="F38" s="20">
        <f>SUM(C38:E38)</f>
        <v>2</v>
      </c>
      <c r="G38" s="20">
        <f>COUNTIFS('سجل التحديثات'!$D$5:$D$182,$B38,'سجل التحديثات'!$J$5:$J$182,"ملتزم")</f>
        <v>2</v>
      </c>
      <c r="H38" s="20">
        <f>COUNTIFS('سجل التحديثات'!$D$5:$D$182,$B38,'سجل التحديثات'!$J$5:$J$182,"متأخر")</f>
        <v>0</v>
      </c>
      <c r="I38" s="24">
        <f>IF(F38=0,0,G38/F38)</f>
        <v>1.0</v>
      </c>
    </row>
    <row r="39">
      <c r="A39" s="15" t="n">
        <v>35</v>
      </c>
      <c r="B39" s="16" t="inlineStr">
        <is>
          <t>جنوب أفريقيا · South Africa</t>
        </is>
      </c>
      <c r="C39" s="15">
        <f>COUNTIFS('سجل التحديثات'!$D$5:$D$182,$B39,'سجل التحديثات'!$B$5:$B$182,"يوليو")</f>
        <v>0</v>
      </c>
      <c r="D39" s="15">
        <f>COUNTIFS('سجل التحديثات'!$D$5:$D$182,$B39,'سجل التحديثات'!$B$5:$B$182,"أغسطس")</f>
        <v>2</v>
      </c>
      <c r="E39" s="15">
        <f>COUNTIFS('سجل التحديثات'!$D$5:$D$182,$B39,'سجل التحديثات'!$B$5:$B$182,"سبتمبر")</f>
        <v>0</v>
      </c>
      <c r="F39" s="15">
        <f>SUM(C39:E39)</f>
        <v>2</v>
      </c>
      <c r="G39" s="15">
        <f>COUNTIFS('سجل التحديثات'!$D$5:$D$182,$B39,'سجل التحديثات'!$J$5:$J$182,"ملتزم")</f>
        <v>2</v>
      </c>
      <c r="H39" s="15">
        <f>COUNTIFS('سجل التحديثات'!$D$5:$D$182,$B39,'سجل التحديثات'!$J$5:$J$182,"متأخر")</f>
        <v>0</v>
      </c>
      <c r="I39" s="23">
        <f>IF(F39=0,0,G39/F39)</f>
        <v>1.0</v>
      </c>
    </row>
    <row r="40">
      <c r="A40" s="20" t="n">
        <v>36</v>
      </c>
      <c r="B40" s="21" t="inlineStr">
        <is>
          <t>قطر · Qatar</t>
        </is>
      </c>
      <c r="C40" s="20">
        <f>COUNTIFS('سجل التحديثات'!$D$5:$D$182,$B40,'سجل التحديثات'!$B$5:$B$182,"يوليو")</f>
        <v>2</v>
      </c>
      <c r="D40" s="20">
        <f>COUNTIFS('سجل التحديثات'!$D$5:$D$182,$B40,'سجل التحديثات'!$B$5:$B$182,"أغسطس")</f>
        <v>0</v>
      </c>
      <c r="E40" s="20">
        <f>COUNTIFS('سجل التحديثات'!$D$5:$D$182,$B40,'سجل التحديثات'!$B$5:$B$182,"سبتمبر")</f>
        <v>0</v>
      </c>
      <c r="F40" s="20">
        <f>SUM(C40:E40)</f>
        <v>2</v>
      </c>
      <c r="G40" s="20">
        <f>COUNTIFS('سجل التحديثات'!$D$5:$D$182,$B40,'سجل التحديثات'!$J$5:$J$182,"ملتزم")</f>
        <v>2</v>
      </c>
      <c r="H40" s="20">
        <f>COUNTIFS('سجل التحديثات'!$D$5:$D$182,$B40,'سجل التحديثات'!$J$5:$J$182,"متأخر")</f>
        <v>0</v>
      </c>
      <c r="I40" s="24">
        <f>IF(F40=0,0,G40/F40)</f>
        <v>1.0</v>
      </c>
    </row>
    <row r="41">
      <c r="A41" s="15" t="n">
        <v>37</v>
      </c>
      <c r="B41" s="16" t="inlineStr">
        <is>
          <t>كوريا الجنوبية · South Korea</t>
        </is>
      </c>
      <c r="C41" s="15">
        <f>COUNTIFS('سجل التحديثات'!$D$5:$D$182,$B41,'سجل التحديثات'!$B$5:$B$182,"يوليو")</f>
        <v>0</v>
      </c>
      <c r="D41" s="15">
        <f>COUNTIFS('سجل التحديثات'!$D$5:$D$182,$B41,'سجل التحديثات'!$B$5:$B$182,"أغسطس")</f>
        <v>2</v>
      </c>
      <c r="E41" s="15">
        <f>COUNTIFS('سجل التحديثات'!$D$5:$D$182,$B41,'سجل التحديثات'!$B$5:$B$182,"سبتمبر")</f>
        <v>0</v>
      </c>
      <c r="F41" s="15">
        <f>SUM(C41:E41)</f>
        <v>2</v>
      </c>
      <c r="G41" s="15">
        <f>COUNTIFS('سجل التحديثات'!$D$5:$D$182,$B41,'سجل التحديثات'!$J$5:$J$182,"ملتزم")</f>
        <v>2</v>
      </c>
      <c r="H41" s="15">
        <f>COUNTIFS('سجل التحديثات'!$D$5:$D$182,$B41,'سجل التحديثات'!$J$5:$J$182,"متأخر")</f>
        <v>0</v>
      </c>
      <c r="I41" s="23">
        <f>IF(F41=0,0,G41/F41)</f>
        <v>1.0</v>
      </c>
    </row>
    <row r="42">
      <c r="A42" s="20" t="n">
        <v>38</v>
      </c>
      <c r="B42" s="21" t="inlineStr">
        <is>
          <t>نيبال · Nepal</t>
        </is>
      </c>
      <c r="C42" s="20">
        <f>COUNTIFS('سجل التحديثات'!$D$5:$D$182,$B42,'سجل التحديثات'!$B$5:$B$182,"يوليو")</f>
        <v>0</v>
      </c>
      <c r="D42" s="20">
        <f>COUNTIFS('سجل التحديثات'!$D$5:$D$182,$B42,'سجل التحديثات'!$B$5:$B$182,"أغسطس")</f>
        <v>1</v>
      </c>
      <c r="E42" s="20">
        <f>COUNTIFS('سجل التحديثات'!$D$5:$D$182,$B42,'سجل التحديثات'!$B$5:$B$182,"سبتمبر")</f>
        <v>1</v>
      </c>
      <c r="F42" s="20">
        <f>SUM(C42:E42)</f>
        <v>2</v>
      </c>
      <c r="G42" s="20">
        <f>COUNTIFS('سجل التحديثات'!$D$5:$D$182,$B42,'سجل التحديثات'!$J$5:$J$182,"ملتزم")</f>
        <v>2</v>
      </c>
      <c r="H42" s="20">
        <f>COUNTIFS('سجل التحديثات'!$D$5:$D$182,$B42,'سجل التحديثات'!$J$5:$J$182,"متأخر")</f>
        <v>0</v>
      </c>
      <c r="I42" s="24">
        <f>IF(F42=0,0,G42/F42)</f>
        <v>1.0</v>
      </c>
    </row>
    <row r="43">
      <c r="A43" s="15" t="n">
        <v>39</v>
      </c>
      <c r="B43" s="16" t="inlineStr">
        <is>
          <t>أنتيغوا وبربودا · Antigua and Barbuda</t>
        </is>
      </c>
      <c r="C43" s="15">
        <f>COUNTIFS('سجل التحديثات'!$D$5:$D$182,$B43,'سجل التحديثات'!$B$5:$B$182,"يوليو")</f>
        <v>0</v>
      </c>
      <c r="D43" s="15">
        <f>COUNTIFS('سجل التحديثات'!$D$5:$D$182,$B43,'سجل التحديثات'!$B$5:$B$182,"أغسطس")</f>
        <v>1</v>
      </c>
      <c r="E43" s="15">
        <f>COUNTIFS('سجل التحديثات'!$D$5:$D$182,$B43,'سجل التحديثات'!$B$5:$B$182,"سبتمبر")</f>
        <v>0</v>
      </c>
      <c r="F43" s="15">
        <f>SUM(C43:E43)</f>
        <v>1</v>
      </c>
      <c r="G43" s="15">
        <f>COUNTIFS('سجل التحديثات'!$D$5:$D$182,$B43,'سجل التحديثات'!$J$5:$J$182,"ملتزم")</f>
        <v>1</v>
      </c>
      <c r="H43" s="15">
        <f>COUNTIFS('سجل التحديثات'!$D$5:$D$182,$B43,'سجل التحديثات'!$J$5:$J$182,"متأخر")</f>
        <v>0</v>
      </c>
      <c r="I43" s="23">
        <f>IF(F43=0,0,G43/F43)</f>
        <v>1.0</v>
      </c>
    </row>
    <row r="44">
      <c r="A44" s="20" t="n">
        <v>40</v>
      </c>
      <c r="B44" s="21" t="inlineStr">
        <is>
          <t>أنغولا · Angola</t>
        </is>
      </c>
      <c r="C44" s="20">
        <f>COUNTIFS('سجل التحديثات'!$D$5:$D$182,$B44,'سجل التحديثات'!$B$5:$B$182,"يوليو")</f>
        <v>0</v>
      </c>
      <c r="D44" s="20">
        <f>COUNTIFS('سجل التحديثات'!$D$5:$D$182,$B44,'سجل التحديثات'!$B$5:$B$182,"أغسطس")</f>
        <v>0</v>
      </c>
      <c r="E44" s="20">
        <f>COUNTIFS('سجل التحديثات'!$D$5:$D$182,$B44,'سجل التحديثات'!$B$5:$B$182,"سبتمبر")</f>
        <v>1</v>
      </c>
      <c r="F44" s="20">
        <f>SUM(C44:E44)</f>
        <v>1</v>
      </c>
      <c r="G44" s="20">
        <f>COUNTIFS('سجل التحديثات'!$D$5:$D$182,$B44,'سجل التحديثات'!$J$5:$J$182,"ملتزم")</f>
        <v>1</v>
      </c>
      <c r="H44" s="20">
        <f>COUNTIFS('سجل التحديثات'!$D$5:$D$182,$B44,'سجل التحديثات'!$J$5:$J$182,"متأخر")</f>
        <v>0</v>
      </c>
      <c r="I44" s="24">
        <f>IF(F44=0,0,G44/F44)</f>
        <v>1.0</v>
      </c>
    </row>
    <row r="45">
      <c r="A45" s="15" t="n">
        <v>41</v>
      </c>
      <c r="B45" s="16" t="inlineStr">
        <is>
          <t>البرتغال · Portugal</t>
        </is>
      </c>
      <c r="C45" s="15">
        <f>COUNTIFS('سجل التحديثات'!$D$5:$D$182,$B45,'سجل التحديثات'!$B$5:$B$182,"يوليو")</f>
        <v>0</v>
      </c>
      <c r="D45" s="15">
        <f>COUNTIFS('سجل التحديثات'!$D$5:$D$182,$B45,'سجل التحديثات'!$B$5:$B$182,"أغسطس")</f>
        <v>0</v>
      </c>
      <c r="E45" s="15">
        <f>COUNTIFS('سجل التحديثات'!$D$5:$D$182,$B45,'سجل التحديثات'!$B$5:$B$182,"سبتمبر")</f>
        <v>1</v>
      </c>
      <c r="F45" s="15">
        <f>SUM(C45:E45)</f>
        <v>1</v>
      </c>
      <c r="G45" s="15">
        <f>COUNTIFS('سجل التحديثات'!$D$5:$D$182,$B45,'سجل التحديثات'!$J$5:$J$182,"ملتزم")</f>
        <v>1</v>
      </c>
      <c r="H45" s="15">
        <f>COUNTIFS('سجل التحديثات'!$D$5:$D$182,$B45,'سجل التحديثات'!$J$5:$J$182,"متأخر")</f>
        <v>0</v>
      </c>
      <c r="I45" s="23">
        <f>IF(F45=0,0,G45/F45)</f>
        <v>1.0</v>
      </c>
    </row>
    <row r="46">
      <c r="A46" s="20" t="n">
        <v>42</v>
      </c>
      <c r="B46" s="21" t="inlineStr">
        <is>
          <t>الجبل الأسود · Montenegro</t>
        </is>
      </c>
      <c r="C46" s="20">
        <f>COUNTIFS('سجل التحديثات'!$D$5:$D$182,$B46,'سجل التحديثات'!$B$5:$B$182,"يوليو")</f>
        <v>0</v>
      </c>
      <c r="D46" s="20">
        <f>COUNTIFS('سجل التحديثات'!$D$5:$D$182,$B46,'سجل التحديثات'!$B$5:$B$182,"أغسطس")</f>
        <v>1</v>
      </c>
      <c r="E46" s="20">
        <f>COUNTIFS('سجل التحديثات'!$D$5:$D$182,$B46,'سجل التحديثات'!$B$5:$B$182,"سبتمبر")</f>
        <v>0</v>
      </c>
      <c r="F46" s="20">
        <f>SUM(C46:E46)</f>
        <v>1</v>
      </c>
      <c r="G46" s="20">
        <f>COUNTIFS('سجل التحديثات'!$D$5:$D$182,$B46,'سجل التحديثات'!$J$5:$J$182,"ملتزم")</f>
        <v>1</v>
      </c>
      <c r="H46" s="20">
        <f>COUNTIFS('سجل التحديثات'!$D$5:$D$182,$B46,'سجل التحديثات'!$J$5:$J$182,"متأخر")</f>
        <v>0</v>
      </c>
      <c r="I46" s="24">
        <f>IF(F46=0,0,G46/F46)</f>
        <v>1.0</v>
      </c>
    </row>
    <row r="47">
      <c r="A47" s="15" t="n">
        <v>43</v>
      </c>
      <c r="B47" s="16" t="inlineStr">
        <is>
          <t>الفلبين · Philippines</t>
        </is>
      </c>
      <c r="C47" s="15">
        <f>COUNTIFS('سجل التحديثات'!$D$5:$D$182,$B47,'سجل التحديثات'!$B$5:$B$182,"يوليو")</f>
        <v>0</v>
      </c>
      <c r="D47" s="15">
        <f>COUNTIFS('سجل التحديثات'!$D$5:$D$182,$B47,'سجل التحديثات'!$B$5:$B$182,"أغسطس")</f>
        <v>0</v>
      </c>
      <c r="E47" s="15">
        <f>COUNTIFS('سجل التحديثات'!$D$5:$D$182,$B47,'سجل التحديثات'!$B$5:$B$182,"سبتمبر")</f>
        <v>1</v>
      </c>
      <c r="F47" s="15">
        <f>SUM(C47:E47)</f>
        <v>1</v>
      </c>
      <c r="G47" s="15">
        <f>COUNTIFS('سجل التحديثات'!$D$5:$D$182,$B47,'سجل التحديثات'!$J$5:$J$182,"ملتزم")</f>
        <v>1</v>
      </c>
      <c r="H47" s="15">
        <f>COUNTIFS('سجل التحديثات'!$D$5:$D$182,$B47,'سجل التحديثات'!$J$5:$J$182,"متأخر")</f>
        <v>0</v>
      </c>
      <c r="I47" s="23">
        <f>IF(F47=0,0,G47/F47)</f>
        <v>1.0</v>
      </c>
    </row>
    <row r="48">
      <c r="A48" s="20" t="n">
        <v>44</v>
      </c>
      <c r="B48" s="21" t="inlineStr">
        <is>
          <t>تركمانستان · Turkmenistan</t>
        </is>
      </c>
      <c r="C48" s="20">
        <f>COUNTIFS('سجل التحديثات'!$D$5:$D$182,$B48,'سجل التحديثات'!$B$5:$B$182,"يوليو")</f>
        <v>1</v>
      </c>
      <c r="D48" s="20">
        <f>COUNTIFS('سجل التحديثات'!$D$5:$D$182,$B48,'سجل التحديثات'!$B$5:$B$182,"أغسطس")</f>
        <v>0</v>
      </c>
      <c r="E48" s="20">
        <f>COUNTIFS('سجل التحديثات'!$D$5:$D$182,$B48,'سجل التحديثات'!$B$5:$B$182,"سبتمبر")</f>
        <v>0</v>
      </c>
      <c r="F48" s="20">
        <f>SUM(C48:E48)</f>
        <v>1</v>
      </c>
      <c r="G48" s="20">
        <f>COUNTIFS('سجل التحديثات'!$D$5:$D$182,$B48,'سجل التحديثات'!$J$5:$J$182,"ملتزم")</f>
        <v>1</v>
      </c>
      <c r="H48" s="20">
        <f>COUNTIFS('سجل التحديثات'!$D$5:$D$182,$B48,'سجل التحديثات'!$J$5:$J$182,"متأخر")</f>
        <v>0</v>
      </c>
      <c r="I48" s="24">
        <f>IF(F48=0,0,G48/F48)</f>
        <v>1.0</v>
      </c>
    </row>
    <row r="49">
      <c r="A49" s="15" t="n">
        <v>45</v>
      </c>
      <c r="B49" s="16" t="inlineStr">
        <is>
          <t>تركيا · Turkiye</t>
        </is>
      </c>
      <c r="C49" s="15">
        <f>COUNTIFS('سجل التحديثات'!$D$5:$D$182,$B49,'سجل التحديثات'!$B$5:$B$182,"يوليو")</f>
        <v>0</v>
      </c>
      <c r="D49" s="15">
        <f>COUNTIFS('سجل التحديثات'!$D$5:$D$182,$B49,'سجل التحديثات'!$B$5:$B$182,"أغسطس")</f>
        <v>1</v>
      </c>
      <c r="E49" s="15">
        <f>COUNTIFS('سجل التحديثات'!$D$5:$D$182,$B49,'سجل التحديثات'!$B$5:$B$182,"سبتمبر")</f>
        <v>0</v>
      </c>
      <c r="F49" s="15">
        <f>SUM(C49:E49)</f>
        <v>1</v>
      </c>
      <c r="G49" s="15">
        <f>COUNTIFS('سجل التحديثات'!$D$5:$D$182,$B49,'سجل التحديثات'!$J$5:$J$182,"ملتزم")</f>
        <v>1</v>
      </c>
      <c r="H49" s="15">
        <f>COUNTIFS('سجل التحديثات'!$D$5:$D$182,$B49,'سجل التحديثات'!$J$5:$J$182,"متأخر")</f>
        <v>0</v>
      </c>
      <c r="I49" s="23">
        <f>IF(F49=0,0,G49/F49)</f>
        <v>1.0</v>
      </c>
    </row>
    <row r="50">
      <c r="A50" s="20" t="n">
        <v>46</v>
      </c>
      <c r="B50" s="21" t="inlineStr">
        <is>
          <t>سيشل · Seychelles</t>
        </is>
      </c>
      <c r="C50" s="20">
        <f>COUNTIFS('سجل التحديثات'!$D$5:$D$182,$B50,'سجل التحديثات'!$B$5:$B$182,"يوليو")</f>
        <v>0</v>
      </c>
      <c r="D50" s="20">
        <f>COUNTIFS('سجل التحديثات'!$D$5:$D$182,$B50,'سجل التحديثات'!$B$5:$B$182,"أغسطس")</f>
        <v>0</v>
      </c>
      <c r="E50" s="20">
        <f>COUNTIFS('سجل التحديثات'!$D$5:$D$182,$B50,'سجل التحديثات'!$B$5:$B$182,"سبتمبر")</f>
        <v>1</v>
      </c>
      <c r="F50" s="20">
        <f>SUM(C50:E50)</f>
        <v>1</v>
      </c>
      <c r="G50" s="20">
        <f>COUNTIFS('سجل التحديثات'!$D$5:$D$182,$B50,'سجل التحديثات'!$J$5:$J$182,"ملتزم")</f>
        <v>1</v>
      </c>
      <c r="H50" s="20">
        <f>COUNTIFS('سجل التحديثات'!$D$5:$D$182,$B50,'سجل التحديثات'!$J$5:$J$182,"متأخر")</f>
        <v>0</v>
      </c>
      <c r="I50" s="24">
        <f>IF(F50=0,0,G50/F50)</f>
        <v>1.0</v>
      </c>
    </row>
    <row r="51">
      <c r="A51" s="15" t="n">
        <v>47</v>
      </c>
      <c r="B51" s="16" t="inlineStr">
        <is>
          <t>عام · General</t>
        </is>
      </c>
      <c r="C51" s="15">
        <f>COUNTIFS('سجل التحديثات'!$D$5:$D$182,$B51,'سجل التحديثات'!$B$5:$B$182,"يوليو")</f>
        <v>0</v>
      </c>
      <c r="D51" s="15">
        <f>COUNTIFS('سجل التحديثات'!$D$5:$D$182,$B51,'سجل التحديثات'!$B$5:$B$182,"أغسطس")</f>
        <v>0</v>
      </c>
      <c r="E51" s="15">
        <f>COUNTIFS('سجل التحديثات'!$D$5:$D$182,$B51,'سجل التحديثات'!$B$5:$B$182,"سبتمبر")</f>
        <v>1</v>
      </c>
      <c r="F51" s="15">
        <f>SUM(C51:E51)</f>
        <v>1</v>
      </c>
      <c r="G51" s="15">
        <f>COUNTIFS('سجل التحديثات'!$D$5:$D$182,$B51,'سجل التحديثات'!$J$5:$J$182,"ملتزم")</f>
        <v>1</v>
      </c>
      <c r="H51" s="15">
        <f>COUNTIFS('سجل التحديثات'!$D$5:$D$182,$B51,'سجل التحديثات'!$J$5:$J$182,"متأخر")</f>
        <v>0</v>
      </c>
      <c r="I51" s="23">
        <f>IF(F51=0,0,G51/F51)</f>
        <v>1.0</v>
      </c>
    </row>
    <row r="52">
      <c r="A52" s="20" t="n">
        <v>48</v>
      </c>
      <c r="B52" s="21" t="inlineStr">
        <is>
          <t>فنلندا · Finland</t>
        </is>
      </c>
      <c r="C52" s="20">
        <f>COUNTIFS('سجل التحديثات'!$D$5:$D$182,$B52,'سجل التحديثات'!$B$5:$B$182,"يوليو")</f>
        <v>1</v>
      </c>
      <c r="D52" s="20">
        <f>COUNTIFS('سجل التحديثات'!$D$5:$D$182,$B52,'سجل التحديثات'!$B$5:$B$182,"أغسطس")</f>
        <v>0</v>
      </c>
      <c r="E52" s="20">
        <f>COUNTIFS('سجل التحديثات'!$D$5:$D$182,$B52,'سجل التحديثات'!$B$5:$B$182,"سبتمبر")</f>
        <v>0</v>
      </c>
      <c r="F52" s="20">
        <f>SUM(C52:E52)</f>
        <v>1</v>
      </c>
      <c r="G52" s="20">
        <f>COUNTIFS('سجل التحديثات'!$D$5:$D$182,$B52,'سجل التحديثات'!$J$5:$J$182,"ملتزم")</f>
        <v>1</v>
      </c>
      <c r="H52" s="20">
        <f>COUNTIFS('سجل التحديثات'!$D$5:$D$182,$B52,'سجل التحديثات'!$J$5:$J$182,"متأخر")</f>
        <v>0</v>
      </c>
      <c r="I52" s="24">
        <f>IF(F52=0,0,G52/F52)</f>
        <v>1.0</v>
      </c>
    </row>
    <row r="53">
      <c r="A53" s="15" t="n">
        <v>49</v>
      </c>
      <c r="B53" s="16" t="inlineStr">
        <is>
          <t>لبنان · Lebanon</t>
        </is>
      </c>
      <c r="C53" s="15">
        <f>COUNTIFS('سجل التحديثات'!$D$5:$D$182,$B53,'سجل التحديثات'!$B$5:$B$182,"يوليو")</f>
        <v>0</v>
      </c>
      <c r="D53" s="15">
        <f>COUNTIFS('سجل التحديثات'!$D$5:$D$182,$B53,'سجل التحديثات'!$B$5:$B$182,"أغسطس")</f>
        <v>0</v>
      </c>
      <c r="E53" s="15">
        <f>COUNTIFS('سجل التحديثات'!$D$5:$D$182,$B53,'سجل التحديثات'!$B$5:$B$182,"سبتمبر")</f>
        <v>1</v>
      </c>
      <c r="F53" s="15">
        <f>SUM(C53:E53)</f>
        <v>1</v>
      </c>
      <c r="G53" s="15">
        <f>COUNTIFS('سجل التحديثات'!$D$5:$D$182,$B53,'سجل التحديثات'!$J$5:$J$182,"ملتزم")</f>
        <v>1</v>
      </c>
      <c r="H53" s="15">
        <f>COUNTIFS('سجل التحديثات'!$D$5:$D$182,$B53,'سجل التحديثات'!$J$5:$J$182,"متأخر")</f>
        <v>0</v>
      </c>
      <c r="I53" s="23">
        <f>IF(F53=0,0,G53/F53)</f>
        <v>1.0</v>
      </c>
    </row>
    <row r="54">
      <c r="A54" s="20" t="n">
        <v>50</v>
      </c>
      <c r="B54" s="21" t="inlineStr">
        <is>
          <t>موريشيوس · Mauritius</t>
        </is>
      </c>
      <c r="C54" s="20">
        <f>COUNTIFS('سجل التحديثات'!$D$5:$D$182,$B54,'سجل التحديثات'!$B$5:$B$182,"يوليو")</f>
        <v>0</v>
      </c>
      <c r="D54" s="20">
        <f>COUNTIFS('سجل التحديثات'!$D$5:$D$182,$B54,'سجل التحديثات'!$B$5:$B$182,"أغسطس")</f>
        <v>0</v>
      </c>
      <c r="E54" s="20">
        <f>COUNTIFS('سجل التحديثات'!$D$5:$D$182,$B54,'سجل التحديثات'!$B$5:$B$182,"سبتمبر")</f>
        <v>1</v>
      </c>
      <c r="F54" s="20">
        <f>SUM(C54:E54)</f>
        <v>1</v>
      </c>
      <c r="G54" s="20">
        <f>COUNTIFS('سجل التحديثات'!$D$5:$D$182,$B54,'سجل التحديثات'!$J$5:$J$182,"ملتزم")</f>
        <v>1</v>
      </c>
      <c r="H54" s="20">
        <f>COUNTIFS('سجل التحديثات'!$D$5:$D$182,$B54,'سجل التحديثات'!$J$5:$J$182,"متأخر")</f>
        <v>0</v>
      </c>
      <c r="I54" s="24">
        <f>IF(F54=0,0,G54/F54)</f>
        <v>1.0</v>
      </c>
    </row>
    <row r="55">
      <c r="A55" s="15" t="n">
        <v>51</v>
      </c>
      <c r="B55" s="16" t="inlineStr">
        <is>
          <t>مولدوفا · Moldova</t>
        </is>
      </c>
      <c r="C55" s="15">
        <f>COUNTIFS('سجل التحديثات'!$D$5:$D$182,$B55,'سجل التحديثات'!$B$5:$B$182,"يوليو")</f>
        <v>1</v>
      </c>
      <c r="D55" s="15">
        <f>COUNTIFS('سجل التحديثات'!$D$5:$D$182,$B55,'سجل التحديثات'!$B$5:$B$182,"أغسطس")</f>
        <v>0</v>
      </c>
      <c r="E55" s="15">
        <f>COUNTIFS('سجل التحديثات'!$D$5:$D$182,$B55,'سجل التحديثات'!$B$5:$B$182,"سبتمبر")</f>
        <v>0</v>
      </c>
      <c r="F55" s="15">
        <f>SUM(C55:E55)</f>
        <v>1</v>
      </c>
      <c r="G55" s="15">
        <f>COUNTIFS('سجل التحديثات'!$D$5:$D$182,$B55,'سجل التحديثات'!$J$5:$J$182,"ملتزم")</f>
        <v>1</v>
      </c>
      <c r="H55" s="15">
        <f>COUNTIFS('سجل التحديثات'!$D$5:$D$182,$B55,'سجل التحديثات'!$J$5:$J$182,"متأخر")</f>
        <v>0</v>
      </c>
      <c r="I55" s="23">
        <f>IF(F55=0,0,G55/F55)</f>
        <v>1.0</v>
      </c>
    </row>
    <row r="56">
      <c r="A56" s="20" t="n">
        <v>52</v>
      </c>
      <c r="B56" s="21" t="inlineStr">
        <is>
          <t>هونغ كونغ · Hong Kong</t>
        </is>
      </c>
      <c r="C56" s="20">
        <f>COUNTIFS('سجل التحديثات'!$D$5:$D$182,$B56,'سجل التحديثات'!$B$5:$B$182,"يوليو")</f>
        <v>0</v>
      </c>
      <c r="D56" s="20">
        <f>COUNTIFS('سجل التحديثات'!$D$5:$D$182,$B56,'سجل التحديثات'!$B$5:$B$182,"أغسطس")</f>
        <v>0</v>
      </c>
      <c r="E56" s="20">
        <f>COUNTIFS('سجل التحديثات'!$D$5:$D$182,$B56,'سجل التحديثات'!$B$5:$B$182,"سبتمبر")</f>
        <v>1</v>
      </c>
      <c r="F56" s="20">
        <f>SUM(C56:E56)</f>
        <v>1</v>
      </c>
      <c r="G56" s="20">
        <f>COUNTIFS('سجل التحديثات'!$D$5:$D$182,$B56,'سجل التحديثات'!$J$5:$J$182,"ملتزم")</f>
        <v>1</v>
      </c>
      <c r="H56" s="20">
        <f>COUNTIFS('سجل التحديثات'!$D$5:$D$182,$B56,'سجل التحديثات'!$J$5:$J$182,"متأخر")</f>
        <v>0</v>
      </c>
      <c r="I56" s="24">
        <f>IF(F56=0,0,G56/F56)</f>
        <v>1.0</v>
      </c>
    </row>
    <row r="57">
      <c r="A57" s="25" t="n"/>
      <c r="B57" s="25" t="inlineStr">
        <is>
          <t>الإجمالي</t>
        </is>
      </c>
      <c r="C57" s="25">
        <f>SUM(C5:C56)</f>
        <v>65</v>
      </c>
      <c r="D57" s="25">
        <f>SUM(D5:D56)</f>
        <v>46</v>
      </c>
      <c r="E57" s="25">
        <f>SUM(E5:E56)</f>
        <v>67</v>
      </c>
      <c r="F57" s="25">
        <f>SUM(F5:F56)</f>
        <v>178</v>
      </c>
      <c r="G57" s="25">
        <f>SUM(G5:G56)</f>
        <v>178</v>
      </c>
      <c r="H57" s="25">
        <f>SUM(H5:H56)</f>
        <v>0</v>
      </c>
      <c r="I57" s="26">
        <f>IF(F57=0,0,G57/F57)</f>
        <v>1.0</v>
      </c>
    </row>
  </sheetData>
  <mergeCells count="2">
    <mergeCell ref="A1:I1"/>
    <mergeCell ref="A2:I2"/>
  </mergeCells>
  <conditionalFormatting sqref="I5:I57">
    <cfRule type="cellIs" priority="1" operator="lessThan" dxfId="2">
      <formula>1</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2026-10-04T12:48:11Z</dcterms:created>
  <dcterms:modified xsi:type="dcterms:W3CDTF">2026-10-04T12:48:11Z</dcterms:modified>
</cp:coreProperties>
</file>